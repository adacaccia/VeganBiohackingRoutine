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Sheet1" sheetId="2" state="visible" r:id="rId2"/>
    <sheet xmlns:r="http://schemas.openxmlformats.org/officeDocument/2006/relationships" name="Metriche" sheetId="3" state="visible" r:id="rId3"/>
    <sheet xmlns:r="http://schemas.openxmlformats.org/officeDocument/2006/relationships" name="Trend Mensile" sheetId="4" state="visible" r:id="rId4"/>
    <sheet xmlns:r="http://schemas.openxmlformats.org/officeDocument/2006/relationships" name="Grafici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3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0" fontId="2" fillId="0" borderId="0" pivotButton="0" quotePrefix="0" xfId="0"/>
    <xf numFmtId="10" fontId="2" fillId="0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Views e Revenue mensili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'Trend Mensile'!B1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'Trend Mensile'!$A$2:$A$13</f>
            </numRef>
          </cat>
          <val>
            <numRef>
              <f>'Trend Mensile'!$B$2:$B$13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'Trend Mensile'!H1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'Trend Mensile'!$H$2:$H$13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Views</a:t>
                </a:r>
              </a:p>
            </rich>
          </tx>
        </title>
        <majorTickMark val="none"/>
        <minorTickMark val="none"/>
        <crossAx val="500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(€)</a:t>
                </a:r>
              </a:p>
            </rich>
          </tx>
        </title>
        <majorTickMark val="none"/>
        <minorTickMark val="none"/>
        <crossAx val="10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CTR medio mensile (%)</a:t>
            </a:r>
          </a:p>
        </rich>
      </tx>
    </title>
    <plotArea>
      <lineChart>
        <grouping val="standard"/>
        <ser>
          <idx val="0"/>
          <order val="0"/>
          <tx>
            <strRef>
              <f>'Trend Mensile'!D1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Mensile'!$A$2:$A$13</f>
            </numRef>
          </cat>
          <val>
            <numRef>
              <f>'Trend Mensile'!$D$2:$D$13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CTR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Engagement mensile: Like, Commenti, Iscrizioni</a:t>
            </a:r>
          </a:p>
        </rich>
      </tx>
    </title>
    <plotArea>
      <lineChart>
        <grouping val="standard"/>
        <ser>
          <idx val="0"/>
          <order val="0"/>
          <tx>
            <strRef>
              <f>'Trend Mensile'!L1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Mensile'!$A$2:$A$13</f>
            </numRef>
          </cat>
          <val>
            <numRef>
              <f>'Trend Mensile'!$L$2:$L$13</f>
            </numRef>
          </val>
        </ser>
        <ser>
          <idx val="1"/>
          <order val="1"/>
          <tx>
            <strRef>
              <f>'Trend Mensile'!M1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Mensile'!$A$2:$A$13</f>
            </numRef>
          </cat>
          <val>
            <numRef>
              <f>'Trend Mensile'!$M$2:$M$13</f>
            </numRef>
          </val>
        </ser>
        <ser>
          <idx val="2"/>
          <order val="2"/>
          <tx>
            <strRef>
              <f>'Trend Mensile'!J1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'Trend Mensile'!$A$2:$A$13</f>
            </numRef>
          </cat>
          <val>
            <numRef>
              <f>'Trend Mensile'!$J$2:$J$13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Mese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Conteggi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2</row>
      <rowOff>0</rowOff>
    </from>
    <ext cx="792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📊 Riepilogo YouTube – VBR 2025</t>
        </is>
      </c>
    </row>
    <row r="3">
      <c r="A3" s="3" t="inlineStr">
        <is>
          <t>Totale Views</t>
        </is>
      </c>
      <c r="B3" s="4">
        <f>SUM(Metriche!E2:E9999)</f>
        <v/>
      </c>
    </row>
    <row r="4">
      <c r="A4" s="3" t="inlineStr">
        <is>
          <t>Totale Impressioni</t>
        </is>
      </c>
      <c r="B4" s="4">
        <f>SUM(Metriche!F2:F9999)</f>
        <v/>
      </c>
    </row>
    <row r="5">
      <c r="A5" s="3" t="inlineStr">
        <is>
          <t>CTR medio ponderato</t>
        </is>
      </c>
      <c r="B5" s="5">
        <f>IF(SUM(Metriche!F2:F9999)&gt;0,SUMPRODUCT(Metriche!G2:G9999,Metriche!F2:F9999)/SUM(Metriche!F2:F9999),0)</f>
        <v/>
      </c>
    </row>
    <row r="6">
      <c r="A6" s="3" t="inlineStr">
        <is>
          <t>Watch time totale (min)</t>
        </is>
      </c>
      <c r="B6" s="4">
        <f>SUM(Metriche!H2:H9999)</f>
        <v/>
      </c>
    </row>
    <row r="7">
      <c r="A7" s="3" t="inlineStr">
        <is>
          <t>Durata media globale (min)</t>
        </is>
      </c>
      <c r="B7" s="4">
        <f>IF(SUM(Metriche!E2:E9999)&gt;0,SUM(Metriche!H2:H9999)/SUM(Metriche!E2:E9999),0)</f>
        <v/>
      </c>
    </row>
    <row r="8">
      <c r="A8" s="3" t="inlineStr">
        <is>
          <t>Like rate ponderato</t>
        </is>
      </c>
      <c r="B8" s="5">
        <f>IF(SUM(Metriche!E2:E9999)&gt;0,SUM(Metriche!J2:J9999)/SUM(Metriche!E2:E9999),0)</f>
        <v/>
      </c>
    </row>
    <row r="9">
      <c r="A9" s="3" t="inlineStr">
        <is>
          <t>Iscrizioni totali</t>
        </is>
      </c>
      <c r="B9" s="4">
        <f>SUM(Metriche!L2:L9999)</f>
        <v/>
      </c>
    </row>
    <row r="10">
      <c r="A10" s="3" t="inlineStr">
        <is>
          <t>Revenue totale (€)</t>
        </is>
      </c>
      <c r="B10" s="4">
        <f>SUM(Metriche!M2:M9999)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Episodio</t>
        </is>
      </c>
      <c r="B1" s="1" t="inlineStr">
        <is>
          <t>Slug</t>
        </is>
      </c>
      <c r="C1" s="1" t="inlineStr">
        <is>
          <t>Titolo YouTube</t>
        </is>
      </c>
      <c r="D1" s="1" t="inlineStr">
        <is>
          <t>Meta Descrizione (short)</t>
        </is>
      </c>
      <c r="E1" s="1" t="inlineStr">
        <is>
          <t>Keyword principali</t>
        </is>
      </c>
      <c r="F1" s="1" t="inlineStr">
        <is>
          <t>Tag YouTube</t>
        </is>
      </c>
      <c r="G1" s="1" t="inlineStr">
        <is>
          <t>CTA finale</t>
        </is>
      </c>
      <c r="H1" s="1" t="inlineStr">
        <is>
          <t>Pubblicato (S/N)</t>
        </is>
      </c>
      <c r="I1" s="1" t="inlineStr">
        <is>
          <t>Data Upload prevista</t>
        </is>
      </c>
    </row>
    <row r="2">
      <c r="A2" t="inlineStr">
        <is>
          <t>EP01</t>
        </is>
      </c>
      <c r="B2" t="inlineStr">
        <is>
          <t>ep01-colazione</t>
        </is>
      </c>
      <c r="C2" t="inlineStr">
        <is>
          <t>La colazione funzionale: il primo atto di consapevolezza</t>
        </is>
      </c>
      <c r="D2" t="inlineStr">
        <is>
          <t>Routine mattutina vegana: fibre, omega‑3 e consapevolezza metabolica.</t>
        </is>
      </c>
      <c r="E2" t="inlineStr">
        <is>
          <t>colazione vegana, omega-3, fibre, b12, routine mattutina</t>
        </is>
      </c>
      <c r="F2" t="inlineStr">
        <is>
          <t>veganbiohacking,plantbased,colazione,omega3,nutrizione</t>
        </is>
      </c>
      <c r="G2" t="inlineStr">
        <is>
          <t>Nulla dies sine linea — neanche al mattino.</t>
        </is>
      </c>
      <c r="H2" t="inlineStr">
        <is>
          <t>Da pubblicare</t>
        </is>
      </c>
      <c r="I2" t="inlineStr">
        <is>
          <t>2025-01-10</t>
        </is>
      </c>
    </row>
    <row r="3">
      <c r="A3" t="inlineStr">
        <is>
          <t>EP02</t>
        </is>
      </c>
      <c r="B3" t="inlineStr">
        <is>
          <t>ep02-trito</t>
        </is>
      </c>
      <c r="C3" t="inlineStr">
        <is>
          <t>Semi di lino e Nigella sativa: la biochimica quotidiana</t>
        </is>
      </c>
      <c r="D3" t="inlineStr">
        <is>
          <t>Semi di lino e Nigella sativa 'put to the test' per il metabolismo e la tiroide.</t>
        </is>
      </c>
      <c r="E3" t="inlineStr">
        <is>
          <t>nigella sativa, semi di lino, fat loss, metabolismo, tiroide</t>
        </is>
      </c>
      <c r="F3" t="inlineStr">
        <is>
          <t>veganbiohacking,nigella,lino,metabolismo,biochimica</t>
        </is>
      </c>
      <c r="G3" t="inlineStr">
        <is>
          <t>Ogni grammo può essere una scelta sensata.</t>
        </is>
      </c>
      <c r="H3" t="inlineStr">
        <is>
          <t>Da pubblicare</t>
        </is>
      </c>
      <c r="I3" t="inlineStr">
        <is>
          <t>2025-01-17</t>
        </is>
      </c>
    </row>
    <row r="4">
      <c r="A4" t="inlineStr">
        <is>
          <t>EP03</t>
        </is>
      </c>
      <c r="B4" t="inlineStr">
        <is>
          <t>ep03-spinaci</t>
        </is>
      </c>
      <c r="C4" t="inlineStr">
        <is>
          <t>Spinaci: la forza silenziosa di luteina e zeaxantina</t>
        </is>
      </c>
      <c r="D4" t="inlineStr">
        <is>
          <t>Perché gli spinaci sono insostituibili per il metabolismo visivo e antiossidante.</t>
        </is>
      </c>
      <c r="E4" t="inlineStr">
        <is>
          <t>spinaci, luteina, zeaxantina, antiossidanti, verdure verdi</t>
        </is>
      </c>
      <c r="F4" t="inlineStr">
        <is>
          <t>veganbiohacking,spinaci,antiossidanti,clorofilla</t>
        </is>
      </c>
      <c r="G4" t="inlineStr">
        <is>
          <t>Mangia la clorofilla, non i supplementi.</t>
        </is>
      </c>
      <c r="H4" t="inlineStr">
        <is>
          <t>Da pubblicare</t>
        </is>
      </c>
      <c r="I4" t="inlineStr">
        <is>
          <t>2025-01-24</t>
        </is>
      </c>
    </row>
    <row r="5">
      <c r="A5" t="inlineStr">
        <is>
          <t>EP04</t>
        </is>
      </c>
      <c r="B5" t="inlineStr">
        <is>
          <t>ep04-passata</t>
        </is>
      </c>
      <c r="C5" t="inlineStr">
        <is>
          <t>Passata di pomodoro: il licopene che resiste al tempo</t>
        </is>
      </c>
      <c r="D5" t="inlineStr">
        <is>
          <t>Il potere del licopene e della cottura lenta nella biochimica quotidiana.</t>
        </is>
      </c>
      <c r="E5" t="inlineStr">
        <is>
          <t>licopene, pomodoro, antiossidanti, cottura lenta, cronometer</t>
        </is>
      </c>
      <c r="F5" t="inlineStr">
        <is>
          <t>veganbiohacking,pomodoro,licopene,antiossidanti</t>
        </is>
      </c>
      <c r="G5" t="inlineStr">
        <is>
          <t>Cottura lenta, nutrizione lunga.</t>
        </is>
      </c>
      <c r="H5" t="inlineStr">
        <is>
          <t>Da pubblicare</t>
        </is>
      </c>
      <c r="I5" t="inlineStr">
        <is>
          <t>2025-01-31</t>
        </is>
      </c>
    </row>
    <row r="6">
      <c r="A6" t="inlineStr">
        <is>
          <t>EP05</t>
        </is>
      </c>
      <c r="B6" t="inlineStr">
        <is>
          <t>ep05-legumi</t>
        </is>
      </c>
      <c r="C6" t="inlineStr">
        <is>
          <t>Legumi: la proteina che non pesa sul pianeta (né sul corpo)</t>
        </is>
      </c>
      <c r="D6" t="inlineStr">
        <is>
          <t>Legumi e microbiota: proteine vegetali che costruiscono salute e sostenibilità.</t>
        </is>
      </c>
      <c r="E6" t="inlineStr">
        <is>
          <t>legumi, proteine vegetali, microbiota, fibra, sostenibilità</t>
        </is>
      </c>
      <c r="F6" t="inlineStr">
        <is>
          <t>veganbiohacking,legumi,proteine,plantbased</t>
        </is>
      </c>
      <c r="G6" t="inlineStr">
        <is>
          <t>Mangiare bene è anche un gesto politico.</t>
        </is>
      </c>
      <c r="H6" t="inlineStr">
        <is>
          <t>Da pubblicare</t>
        </is>
      </c>
      <c r="I6" t="inlineStr">
        <is>
          <t>2025-02-07</t>
        </is>
      </c>
    </row>
    <row r="7">
      <c r="A7" t="inlineStr">
        <is>
          <t>EP06</t>
        </is>
      </c>
      <c r="B7" t="inlineStr">
        <is>
          <t>ep06-vegan</t>
        </is>
      </c>
      <c r="C7" t="inlineStr">
        <is>
          <t>Perché sono diventato vegan: equilibrio metabolico e prove scientifiche</t>
        </is>
      </c>
      <c r="D7" t="inlineStr">
        <is>
          <t>IGF‑1, microbiota e colesterolo spiegano la logica di un approccio vegetale.</t>
        </is>
      </c>
      <c r="E7" t="inlineStr">
        <is>
          <t>vegan, IGF-1, microbiota, colesterolo, tè bianco, pesto vegetale</t>
        </is>
      </c>
      <c r="F7" t="inlineStr">
        <is>
          <t>veganbiohacking,vegan,metabolismo,tebianco,pesto</t>
        </is>
      </c>
      <c r="G7" t="inlineStr">
        <is>
          <t>Vegan non è ideologia: è fisiologia.</t>
        </is>
      </c>
      <c r="H7" t="inlineStr">
        <is>
          <t>Da pubblicare</t>
        </is>
      </c>
      <c r="I7" t="inlineStr">
        <is>
          <t>2025-02-14</t>
        </is>
      </c>
    </row>
    <row r="8">
      <c r="A8" t="inlineStr">
        <is>
          <t>EP07</t>
        </is>
      </c>
      <c r="B8" t="inlineStr">
        <is>
          <t>ep07-caffe</t>
        </is>
      </c>
      <c r="C8" t="inlineStr">
        <is>
          <t>Caffè filtrato vs non filtrato: il gesto che cambia il sangue</t>
        </is>
      </c>
      <c r="D8" t="inlineStr">
        <is>
          <t>I diterpeni alzano l’LDL: il filtro di carta li blocca senza togliere aroma.</t>
        </is>
      </c>
      <c r="E8" t="inlineStr">
        <is>
          <t>caffè filtrato, diterpeni, LDL, moka, biohacking</t>
        </is>
      </c>
      <c r="F8" t="inlineStr">
        <is>
          <t>veganbiohacking,caffe,diterpeni,colesterolo</t>
        </is>
      </c>
      <c r="G8" t="inlineStr">
        <is>
          <t>Filtra il caffè, non la vita.</t>
        </is>
      </c>
      <c r="H8" t="inlineStr">
        <is>
          <t>Da pubblicare</t>
        </is>
      </c>
      <c r="I8" t="inlineStr">
        <is>
          <t>2025-02-21</t>
        </is>
      </c>
    </row>
    <row r="9">
      <c r="A9" t="inlineStr">
        <is>
          <t>EP08</t>
        </is>
      </c>
      <c r="B9" t="inlineStr">
        <is>
          <t>ep08-denti</t>
        </is>
      </c>
      <c r="C9" t="inlineStr">
        <is>
          <t>Denti forti, microbi sani: la bocca è il primo laboratorio del corpo</t>
        </is>
      </c>
      <c r="D9" t="inlineStr">
        <is>
          <t>Il microbiota orale e la remineralizzazione naturale come biohacking quotidiano.</t>
        </is>
      </c>
      <c r="E9" t="inlineStr">
        <is>
          <t>igiene orale, microbiota orale, curasept, smalto, remineralizzazione</t>
        </is>
      </c>
      <c r="F9" t="inlineStr">
        <is>
          <t>veganbiohacking,denti,microbiota,igieneorale</t>
        </is>
      </c>
      <c r="G9" t="inlineStr">
        <is>
          <t>Ogni sorriso è una prova biochimica.</t>
        </is>
      </c>
      <c r="H9" t="inlineStr">
        <is>
          <t>Da pubblicare</t>
        </is>
      </c>
      <c r="I9" t="inlineStr">
        <is>
          <t>2025-02-28</t>
        </is>
      </c>
    </row>
    <row r="10">
      <c r="A10" t="inlineStr">
        <is>
          <t>EP09</t>
        </is>
      </c>
      <c r="B10" t="inlineStr">
        <is>
          <t>ep09-germogli</t>
        </is>
      </c>
      <c r="C10" t="inlineStr">
        <is>
          <t>Germogli: enzimi, clorofilla e la rigenerazione quotidiana</t>
        </is>
      </c>
      <c r="D10" t="inlineStr">
        <is>
          <t>I germogli come concentrato di enzimi e antiossidanti per la rigenerazione metabolica.</t>
        </is>
      </c>
      <c r="E10" t="inlineStr">
        <is>
          <t>germogli, clorofilla, enzimi, antiossidanti, sprouting</t>
        </is>
      </c>
      <c r="F10" t="inlineStr">
        <is>
          <t>veganbiohacking,germogli,enzimi,antiossidanti</t>
        </is>
      </c>
      <c r="G10" t="inlineStr">
        <is>
          <t>La vita ricomincia ogni mattina, in un barattolo.</t>
        </is>
      </c>
      <c r="H10" t="inlineStr">
        <is>
          <t>Da pubblicare</t>
        </is>
      </c>
      <c r="I10" t="inlineStr">
        <is>
          <t>2025-03-07</t>
        </is>
      </c>
    </row>
    <row r="11">
      <c r="A11" t="inlineStr">
        <is>
          <t>EP10</t>
        </is>
      </c>
      <c r="B11" t="inlineStr">
        <is>
          <t>ep10-fitness</t>
        </is>
      </c>
      <c r="C11" t="inlineStr">
        <is>
          <t>Dalla piscina alla palestra: ricostruire il corpo, senza più ingannarlo</t>
        </is>
      </c>
      <c r="D11" t="inlineStr">
        <is>
          <t>Fitness, recupero e cura personale: coerenza metabolica e scelte 'put to the test'.</t>
        </is>
      </c>
      <c r="E11" t="inlineStr">
        <is>
          <t>fitness over 50, caffeina, rosmarino, hair growth, reset metabolico</t>
        </is>
      </c>
      <c r="F11" t="inlineStr">
        <is>
          <t>veganbiohacking,fitness,metabolismo,hairgrowth</t>
        </is>
      </c>
      <c r="G11" t="inlineStr">
        <is>
          <t>La coerenza è il vero muscolo.</t>
        </is>
      </c>
      <c r="H11" t="inlineStr">
        <is>
          <t>Da pubblicare</t>
        </is>
      </c>
      <c r="I11" t="inlineStr">
        <is>
          <t>2025-03-14</t>
        </is>
      </c>
    </row>
    <row r="12">
      <c r="A12" t="inlineStr">
        <is>
          <t>EP11</t>
        </is>
      </c>
      <c r="B12" t="inlineStr">
        <is>
          <t>ep11-report</t>
        </is>
      </c>
      <c r="C12" t="inlineStr">
        <is>
          <t>Report mensile: misurare, capire, migliorare</t>
        </is>
      </c>
      <c r="D12" t="inlineStr">
        <is>
          <t>Analisi dei dati biometrici e progressi reali del percorso Vegan Biohacking Routine.</t>
        </is>
      </c>
      <c r="E12" t="inlineStr">
        <is>
          <t>report, analisi, progressi, grafici, cronometer</t>
        </is>
      </c>
      <c r="F12" t="inlineStr">
        <is>
          <t>veganbiohacking,report,analisi,progressi</t>
        </is>
      </c>
      <c r="G12" t="inlineStr">
        <is>
          <t>Ciò che misuri, migliori.</t>
        </is>
      </c>
      <c r="H12" t="inlineStr">
        <is>
          <t>Da pubblicare</t>
        </is>
      </c>
      <c r="I12" t="inlineStr">
        <is>
          <t>2025-03-21</t>
        </is>
      </c>
    </row>
    <row r="13">
      <c r="A13" t="inlineStr">
        <is>
          <t>EP12</t>
        </is>
      </c>
      <c r="B13" t="inlineStr">
        <is>
          <t>ep12-fine</t>
        </is>
      </c>
      <c r="C13" t="inlineStr">
        <is>
          <t>Conclusione: il metabolismo come filosofia di vita</t>
        </is>
      </c>
      <c r="D13" t="inlineStr">
        <is>
          <t>La coerenza metabolica come chiave per una salute sostenibile e consapevole.</t>
        </is>
      </c>
      <c r="E13" t="inlineStr">
        <is>
          <t>vegan biohacking, equilibrio, coerenza, salute sostenibile</t>
        </is>
      </c>
      <c r="F13" t="inlineStr">
        <is>
          <t>veganbiohacking,metabolismo,coerenza,plantbased</t>
        </is>
      </c>
      <c r="G13" t="inlineStr">
        <is>
          <t>Non finisce qui: ricomincia ogni giorno.</t>
        </is>
      </c>
      <c r="H13" t="inlineStr">
        <is>
          <t>Da pubblicare</t>
        </is>
      </c>
      <c r="I13" t="inlineStr">
        <is>
          <t>2025-03-28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</cols>
  <sheetData>
    <row r="1">
      <c r="A1" s="6" t="inlineStr">
        <is>
          <t>Data rilevazione</t>
        </is>
      </c>
      <c r="B1" s="6" t="inlineStr">
        <is>
          <t>Episodio</t>
        </is>
      </c>
      <c r="C1" s="6" t="inlineStr">
        <is>
          <t>Titolo YouTube</t>
        </is>
      </c>
      <c r="D1" s="6" t="inlineStr">
        <is>
          <t>Video URL/ID</t>
        </is>
      </c>
      <c r="E1" s="6" t="inlineStr">
        <is>
          <t>Views</t>
        </is>
      </c>
      <c r="F1" s="6" t="inlineStr">
        <is>
          <t>Impressioni</t>
        </is>
      </c>
      <c r="G1" s="7" t="inlineStr">
        <is>
          <t>CTR (%)</t>
        </is>
      </c>
      <c r="H1" s="6" t="inlineStr">
        <is>
          <t>Watch time (min)</t>
        </is>
      </c>
      <c r="I1" s="6" t="inlineStr">
        <is>
          <t>Durata media (min)</t>
        </is>
      </c>
      <c r="J1" s="6" t="inlineStr">
        <is>
          <t>Like</t>
        </is>
      </c>
      <c r="K1" s="6" t="inlineStr">
        <is>
          <t>Commenti</t>
        </is>
      </c>
      <c r="L1" s="6" t="inlineStr">
        <is>
          <t>Iscrizioni generate</t>
        </is>
      </c>
      <c r="M1" s="6" t="inlineStr">
        <is>
          <t>Revenue stimata (€)</t>
        </is>
      </c>
      <c r="N1" s="6" t="inlineStr">
        <is>
          <t>Like/View (%)</t>
        </is>
      </c>
      <c r="O1" s="6" t="inlineStr">
        <is>
          <t>Watch per view (min)</t>
        </is>
      </c>
    </row>
    <row r="2">
      <c r="G2" s="8" t="n"/>
      <c r="N2" s="8">
        <f>IF(E2&gt;0,J2/E2,0)</f>
        <v/>
      </c>
      <c r="O2">
        <f>IF(E2&gt;0,H2/E2,0)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6" t="inlineStr">
        <is>
          <t>Mese</t>
        </is>
      </c>
      <c r="B1" s="6" t="inlineStr">
        <is>
          <t>Views</t>
        </is>
      </c>
      <c r="C1" s="6" t="inlineStr">
        <is>
          <t>Δ Views (%)</t>
        </is>
      </c>
      <c r="D1" s="6" t="inlineStr">
        <is>
          <t>CTR medio (%)</t>
        </is>
      </c>
      <c r="E1" s="6" t="inlineStr">
        <is>
          <t>Δ CTR (%)</t>
        </is>
      </c>
      <c r="F1" s="6" t="inlineStr">
        <is>
          <t>Watch time (min)</t>
        </is>
      </c>
      <c r="G1" s="6" t="inlineStr">
        <is>
          <t>Δ Watch (%)</t>
        </is>
      </c>
      <c r="H1" s="6" t="inlineStr">
        <is>
          <t>Revenue (€)</t>
        </is>
      </c>
      <c r="I1" s="6" t="inlineStr">
        <is>
          <t>Δ Revenue (%)</t>
        </is>
      </c>
      <c r="J1" s="6" t="inlineStr">
        <is>
          <t>Iscrizioni generate</t>
        </is>
      </c>
      <c r="K1" s="6" t="inlineStr">
        <is>
          <t>Δ Iscrizioni (%)</t>
        </is>
      </c>
      <c r="L1" t="inlineStr">
        <is>
          <t>Like</t>
        </is>
      </c>
      <c r="M1" t="inlineStr">
        <is>
          <t>Commenti</t>
        </is>
      </c>
    </row>
    <row r="2">
      <c r="A2" s="9" t="inlineStr">
        <is>
          <t>Gennaio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9" t="inlineStr">
        <is>
          <t>Febbraio</t>
        </is>
      </c>
      <c r="B3" s="9" t="n"/>
      <c r="C3" s="9">
        <f>IF(B2&gt;0,(B3-B2)/B2,0)</f>
        <v/>
      </c>
      <c r="D3" s="9" t="n"/>
      <c r="E3" s="9">
        <f>IF(D2&gt;0,(D3-D2)/D2,0)</f>
        <v/>
      </c>
      <c r="F3" s="9" t="n"/>
      <c r="G3" s="9">
        <f>IF(F2&gt;0,(F3-F2)/F2,0)</f>
        <v/>
      </c>
      <c r="H3" s="9" t="n"/>
      <c r="I3" s="9">
        <f>IF(H2&gt;0,(H3-H2)/H2,0)</f>
        <v/>
      </c>
      <c r="J3" s="9" t="n"/>
      <c r="K3" s="9">
        <f>IF(J2&gt;0,(J3-J2)/J2,0)</f>
        <v/>
      </c>
    </row>
    <row r="4">
      <c r="A4" s="9" t="inlineStr">
        <is>
          <t>Marzo</t>
        </is>
      </c>
      <c r="B4" s="9" t="n"/>
      <c r="C4" s="9">
        <f>IF(B3&gt;0,(B4-B3)/B3,0)</f>
        <v/>
      </c>
      <c r="D4" s="9" t="n"/>
      <c r="E4" s="9">
        <f>IF(D3&gt;0,(D4-D3)/D3,0)</f>
        <v/>
      </c>
      <c r="F4" s="9" t="n"/>
      <c r="G4" s="9">
        <f>IF(F3&gt;0,(F4-F3)/F3,0)</f>
        <v/>
      </c>
      <c r="H4" s="9" t="n"/>
      <c r="I4" s="9">
        <f>IF(H3&gt;0,(H4-H3)/H3,0)</f>
        <v/>
      </c>
      <c r="J4" s="9" t="n"/>
      <c r="K4" s="9">
        <f>IF(J3&gt;0,(J4-J3)/J3,0)</f>
        <v/>
      </c>
    </row>
    <row r="5">
      <c r="A5" s="9" t="inlineStr">
        <is>
          <t>Aprile</t>
        </is>
      </c>
      <c r="B5" s="9" t="n"/>
      <c r="C5" s="9">
        <f>IF(B4&gt;0,(B5-B4)/B4,0)</f>
        <v/>
      </c>
      <c r="D5" s="9" t="n"/>
      <c r="E5" s="9">
        <f>IF(D4&gt;0,(D5-D4)/D4,0)</f>
        <v/>
      </c>
      <c r="F5" s="9" t="n"/>
      <c r="G5" s="9">
        <f>IF(F4&gt;0,(F5-F4)/F4,0)</f>
        <v/>
      </c>
      <c r="H5" s="9" t="n"/>
      <c r="I5" s="9">
        <f>IF(H4&gt;0,(H5-H4)/H4,0)</f>
        <v/>
      </c>
      <c r="J5" s="9" t="n"/>
      <c r="K5" s="9">
        <f>IF(J4&gt;0,(J5-J4)/J4,0)</f>
        <v/>
      </c>
    </row>
    <row r="6">
      <c r="A6" s="9" t="inlineStr">
        <is>
          <t>Maggio</t>
        </is>
      </c>
      <c r="B6" s="9" t="n"/>
      <c r="C6" s="9">
        <f>IF(B5&gt;0,(B6-B5)/B5,0)</f>
        <v/>
      </c>
      <c r="D6" s="9" t="n"/>
      <c r="E6" s="9">
        <f>IF(D5&gt;0,(D6-D5)/D5,0)</f>
        <v/>
      </c>
      <c r="F6" s="9" t="n"/>
      <c r="G6" s="9">
        <f>IF(F5&gt;0,(F6-F5)/F5,0)</f>
        <v/>
      </c>
      <c r="H6" s="9" t="n"/>
      <c r="I6" s="9">
        <f>IF(H5&gt;0,(H6-H5)/H5,0)</f>
        <v/>
      </c>
      <c r="J6" s="9" t="n"/>
      <c r="K6" s="9">
        <f>IF(J5&gt;0,(J6-J5)/J5,0)</f>
        <v/>
      </c>
    </row>
    <row r="7">
      <c r="A7" s="9" t="inlineStr">
        <is>
          <t>Giugno</t>
        </is>
      </c>
      <c r="B7" s="9" t="n"/>
      <c r="C7" s="9">
        <f>IF(B6&gt;0,(B7-B6)/B6,0)</f>
        <v/>
      </c>
      <c r="D7" s="9" t="n"/>
      <c r="E7" s="9">
        <f>IF(D6&gt;0,(D7-D6)/D6,0)</f>
        <v/>
      </c>
      <c r="F7" s="9" t="n"/>
      <c r="G7" s="9">
        <f>IF(F6&gt;0,(F7-F6)/F6,0)</f>
        <v/>
      </c>
      <c r="H7" s="9" t="n"/>
      <c r="I7" s="9">
        <f>IF(H6&gt;0,(H7-H6)/H6,0)</f>
        <v/>
      </c>
      <c r="J7" s="9" t="n"/>
      <c r="K7" s="9">
        <f>IF(J6&gt;0,(J7-J6)/J6,0)</f>
        <v/>
      </c>
    </row>
    <row r="8">
      <c r="A8" s="9" t="inlineStr">
        <is>
          <t>Luglio</t>
        </is>
      </c>
      <c r="B8" s="9" t="n"/>
      <c r="C8" s="9">
        <f>IF(B7&gt;0,(B8-B7)/B7,0)</f>
        <v/>
      </c>
      <c r="D8" s="9" t="n"/>
      <c r="E8" s="9">
        <f>IF(D7&gt;0,(D8-D7)/D7,0)</f>
        <v/>
      </c>
      <c r="F8" s="9" t="n"/>
      <c r="G8" s="9">
        <f>IF(F7&gt;0,(F8-F7)/F7,0)</f>
        <v/>
      </c>
      <c r="H8" s="9" t="n"/>
      <c r="I8" s="9">
        <f>IF(H7&gt;0,(H8-H7)/H7,0)</f>
        <v/>
      </c>
      <c r="J8" s="9" t="n"/>
      <c r="K8" s="9">
        <f>IF(J7&gt;0,(J8-J7)/J7,0)</f>
        <v/>
      </c>
    </row>
    <row r="9">
      <c r="A9" s="9" t="inlineStr">
        <is>
          <t>Agosto</t>
        </is>
      </c>
      <c r="B9" s="9" t="n"/>
      <c r="C9" s="9">
        <f>IF(B8&gt;0,(B9-B8)/B8,0)</f>
        <v/>
      </c>
      <c r="D9" s="9" t="n"/>
      <c r="E9" s="9">
        <f>IF(D8&gt;0,(D9-D8)/D8,0)</f>
        <v/>
      </c>
      <c r="F9" s="9" t="n"/>
      <c r="G9" s="9">
        <f>IF(F8&gt;0,(F9-F8)/F8,0)</f>
        <v/>
      </c>
      <c r="H9" s="9" t="n"/>
      <c r="I9" s="9">
        <f>IF(H8&gt;0,(H9-H8)/H8,0)</f>
        <v/>
      </c>
      <c r="J9" s="9" t="n"/>
      <c r="K9" s="9">
        <f>IF(J8&gt;0,(J9-J8)/J8,0)</f>
        <v/>
      </c>
    </row>
    <row r="10">
      <c r="A10" s="9" t="inlineStr">
        <is>
          <t>Settembre</t>
        </is>
      </c>
      <c r="B10" s="9" t="n"/>
      <c r="C10" s="9">
        <f>IF(B9&gt;0,(B10-B9)/B9,0)</f>
        <v/>
      </c>
      <c r="D10" s="9" t="n"/>
      <c r="E10" s="9">
        <f>IF(D9&gt;0,(D10-D9)/D9,0)</f>
        <v/>
      </c>
      <c r="F10" s="9" t="n"/>
      <c r="G10" s="9">
        <f>IF(F9&gt;0,(F10-F9)/F9,0)</f>
        <v/>
      </c>
      <c r="H10" s="9" t="n"/>
      <c r="I10" s="9">
        <f>IF(H9&gt;0,(H10-H9)/H9,0)</f>
        <v/>
      </c>
      <c r="J10" s="9" t="n"/>
      <c r="K10" s="9">
        <f>IF(J9&gt;0,(J10-J9)/J9,0)</f>
        <v/>
      </c>
    </row>
    <row r="11">
      <c r="A11" s="9" t="inlineStr">
        <is>
          <t>Ottobre</t>
        </is>
      </c>
      <c r="B11" s="9" t="n"/>
      <c r="C11" s="9">
        <f>IF(B10&gt;0,(B11-B10)/B10,0)</f>
        <v/>
      </c>
      <c r="D11" s="9" t="n"/>
      <c r="E11" s="9">
        <f>IF(D10&gt;0,(D11-D10)/D10,0)</f>
        <v/>
      </c>
      <c r="F11" s="9" t="n"/>
      <c r="G11" s="9">
        <f>IF(F10&gt;0,(F11-F10)/F10,0)</f>
        <v/>
      </c>
      <c r="H11" s="9" t="n"/>
      <c r="I11" s="9">
        <f>IF(H10&gt;0,(H11-H10)/H10,0)</f>
        <v/>
      </c>
      <c r="J11" s="9" t="n"/>
      <c r="K11" s="9">
        <f>IF(J10&gt;0,(J11-J10)/J10,0)</f>
        <v/>
      </c>
    </row>
    <row r="12">
      <c r="A12" s="9" t="inlineStr">
        <is>
          <t>Novembre</t>
        </is>
      </c>
      <c r="B12" s="9" t="n"/>
      <c r="C12" s="9">
        <f>IF(B11&gt;0,(B12-B11)/B11,0)</f>
        <v/>
      </c>
      <c r="D12" s="9" t="n"/>
      <c r="E12" s="9">
        <f>IF(D11&gt;0,(D12-D11)/D11,0)</f>
        <v/>
      </c>
      <c r="F12" s="9" t="n"/>
      <c r="G12" s="9">
        <f>IF(F11&gt;0,(F12-F11)/F11,0)</f>
        <v/>
      </c>
      <c r="H12" s="9" t="n"/>
      <c r="I12" s="9">
        <f>IF(H11&gt;0,(H12-H11)/H11,0)</f>
        <v/>
      </c>
      <c r="J12" s="9" t="n"/>
      <c r="K12" s="9">
        <f>IF(J11&gt;0,(J12-J11)/J11,0)</f>
        <v/>
      </c>
    </row>
    <row r="13">
      <c r="A13" s="9" t="inlineStr">
        <is>
          <t>Dicembre</t>
        </is>
      </c>
      <c r="B13" s="9" t="n"/>
      <c r="C13" s="9">
        <f>IF(B12&gt;0,(B13-B12)/B12,0)</f>
        <v/>
      </c>
      <c r="D13" s="9" t="n"/>
      <c r="E13" s="9">
        <f>IF(D12&gt;0,(D13-D12)/D12,0)</f>
        <v/>
      </c>
      <c r="F13" s="9" t="n"/>
      <c r="G13" s="9">
        <f>IF(F12&gt;0,(F13-F12)/F12,0)</f>
        <v/>
      </c>
      <c r="H13" s="9" t="n"/>
      <c r="I13" s="9">
        <f>IF(H12&gt;0,(H13-H12)/H12,0)</f>
        <v/>
      </c>
      <c r="J13" s="9" t="n"/>
      <c r="K13" s="9">
        <f>IF(J12&gt;0,(J13-J12)/J12,0)</f>
        <v/>
      </c>
    </row>
    <row r="14">
      <c r="A14" s="9" t="n"/>
      <c r="B14" s="9" t="n"/>
      <c r="C14" s="9">
        <f>IF(B13&gt;0,(B14-B13)/B13,0)</f>
        <v/>
      </c>
      <c r="D14" s="9" t="n"/>
      <c r="E14" s="9">
        <f>IF(D13&gt;0,(D14-D13)/D13,0)</f>
        <v/>
      </c>
      <c r="F14" s="9" t="n"/>
      <c r="G14" s="9">
        <f>IF(F13&gt;0,(F14-F13)/F13,0)</f>
        <v/>
      </c>
      <c r="H14" s="9" t="n"/>
      <c r="I14" s="9">
        <f>IF(H13&gt;0,(H14-H13)/H13,0)</f>
        <v/>
      </c>
      <c r="J14" s="9" t="n"/>
      <c r="K14" s="9">
        <f>IF(J13&gt;0,(J14-J13)/J13,0)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📈 Dashboard Grafica – YouTube Vegan Biohacking Routine 2025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2025-10-23T20:36:44Z</dcterms:created>
  <dcterms:modified xmlns:dcterms="http://purl.org/dc/terms/" xmlns:xsi="http://www.w3.org/2001/XMLSchema-instance" xsi:type="dcterms:W3CDTF">2025-10-23T20:36:44Z</dcterms:modified>
</cp:coreProperties>
</file>
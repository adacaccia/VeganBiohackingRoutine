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3"/>
    <sheet name="Sommario" sheetId="2" state="visible" r:id="rId4"/>
    <sheet name="01-Jan" sheetId="3" state="visible" r:id="rId5"/>
    <sheet name="02-Feb" sheetId="4" state="visible" r:id="rId6"/>
    <sheet name="03-Mar" sheetId="5" state="visible" r:id="rId7"/>
    <sheet name="04-Apr" sheetId="6" state="visible" r:id="rId8"/>
    <sheet name="05-May" sheetId="7" state="visible" r:id="rId9"/>
    <sheet name="06-Jun" sheetId="8" state="visible" r:id="rId10"/>
    <sheet name="08-Aug" sheetId="9" state="visible" r:id="rId11"/>
    <sheet name="07-Jul" sheetId="10" state="visible" r:id="rId12"/>
    <sheet name="09-Sep" sheetId="11" state="visible" r:id="rId13"/>
    <sheet name="10-Oct" sheetId="12" state="visible" r:id="rId14"/>
    <sheet name="11-Nov" sheetId="13" state="visible" r:id="rId15"/>
    <sheet name="12-Dec" sheetId="14" state="visible" r:id="rId16"/>
  </sheets>
  <definedNames>
    <definedName function="false" hidden="true" localSheetId="2" name="_xlnm._FilterDatabase" vbProcedure="false">'01-Jan'!$A$3:$H$142</definedName>
    <definedName function="false" hidden="true" localSheetId="3" name="_xlnm._FilterDatabase" vbProcedure="false">'02-Feb'!$A$3:$H$142</definedName>
    <definedName function="false" hidden="true" localSheetId="4" name="_xlnm._FilterDatabase" vbProcedure="false">'03-Mar'!$A$3:$H$142</definedName>
    <definedName function="false" hidden="true" localSheetId="5" name="_xlnm._FilterDatabase" vbProcedure="false">'04-Apr'!$A$3:$H$142</definedName>
    <definedName function="false" hidden="true" localSheetId="6" name="_xlnm._FilterDatabase" vbProcedure="false">'05-May'!$A$3:$H$142</definedName>
    <definedName function="false" hidden="true" localSheetId="7" name="_xlnm._FilterDatabase" vbProcedure="false">'06-Jun'!$A$3:$H$142</definedName>
    <definedName function="false" hidden="true" localSheetId="9" name="_xlnm._FilterDatabase" vbProcedure="false">'07-Jul'!$A$3:$H$142</definedName>
    <definedName function="false" hidden="true" localSheetId="8" name="_xlnm._FilterDatabase" vbProcedure="false">'08-Aug'!$A$3:$H$142</definedName>
    <definedName function="false" hidden="true" localSheetId="10" name="_xlnm._FilterDatabase" vbProcedure="false">'09-Sep'!$A$3:$H$142</definedName>
    <definedName function="false" hidden="true" localSheetId="11" name="_xlnm._FilterDatabase" vbProcedure="false">'10-Oct'!$A$3:$H$142</definedName>
    <definedName function="false" hidden="true" localSheetId="12" name="_xlnm._FilterDatabase" vbProcedure="false">'11-Nov'!$A$3:$H$142</definedName>
    <definedName function="false" hidden="true" localSheetId="13" name="_xlnm._FilterDatabase" vbProcedure="false">'12-Dec'!$A$3:$H$142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<sst xmlns="http://schemas.openxmlformats.org/spreadsheetml/2006/main" count="1209" uniqueCount="122">
  <si>
    <t xml:space="preserve">Calendario finanziario mensile</t>
  </si>
  <si>
    <t xml:space="preserve">Come usare:</t>
  </si>
  <si>
    <t xml:space="preserve">Ogni mese ha un foglio dedicato con gli addebiti ricorrenti (1°, 15°, 27) e le eccezioni note.
Colonna 'Metodo' indica SDD/Bonifico/Buoni/etc. Modifica se necessario.
Nei mesi di Rottamazione Quater (Feb/Mag/Ago/Nov) trovi una riga a fine mese e una nota sulla 'zona rossa' 25→3.
Importi Sorgenia sono stime: aggiorna quando hai i valori effettivi.
Prime è annuale (2 gennaio).</t>
  </si>
  <si>
    <t xml:space="preserve">Buffer (promemoria):</t>
  </si>
  <si>
    <t xml:space="preserve">• Entro il 1°: 800 € (1.050 € nei mesi Rottamazione)</t>
  </si>
  <si>
    <t xml:space="preserve">• Entro il 15: 1.000 €</t>
  </si>
  <si>
    <t xml:space="preserve">• Zona Rottamazione (25→3): lasciare almeno 250 €</t>
  </si>
  <si>
    <t xml:space="preserve">Regola spesa:</t>
  </si>
  <si>
    <t xml:space="preserve">• 1 sola spesa settimanale al mese pagata con buoni pasto (accredito con stipendio il 27).</t>
  </si>
  <si>
    <t xml:space="preserve">Note mensilità extra:</t>
  </si>
  <si>
    <t xml:space="preserve">• 14esima: 27 giugno (insieme allo stipendio).</t>
  </si>
  <si>
    <t xml:space="preserve">• 13esima: spesso 24–27 dicembre; qui riportata il 27 per generalità.</t>
  </si>
  <si>
    <t xml:space="preserve">Eventi Amazon:</t>
  </si>
  <si>
    <t xml:space="preserve">• Amazon Prime: 2 gennaio (49,99 €/anno).</t>
  </si>
  <si>
    <t xml:space="preserve">Priorità</t>
  </si>
  <si>
    <t xml:space="preserve">Significato</t>
  </si>
  <si>
    <t xml:space="preserve">A</t>
  </si>
  <si>
    <t xml:space="preserve">Intoccabile (Fisco, rate critiche)</t>
  </si>
  <si>
    <t xml:space="preserve">B</t>
  </si>
  <si>
    <t xml:space="preserve">Essenziale (utenze, casa)</t>
  </si>
  <si>
    <t xml:space="preserve">C</t>
  </si>
  <si>
    <t xml:space="preserve">Gestibile/Opzionale</t>
  </si>
  <si>
    <t xml:space="preserve">Pagamento</t>
  </si>
  <si>
    <r>
      <rPr>
        <b val="true"/>
        <sz val="11"/>
        <rFont val="Cambria"/>
        <family val="0"/>
        <charset val="1"/>
      </rPr>
      <t xml:space="preserve">Valori suggeriti (menu a tendina nei mesi): </t>
    </r>
    <r>
      <rPr>
        <sz val="11"/>
        <color theme="1"/>
        <rFont val="Calibri"/>
        <family val="2"/>
        <charset val="1"/>
      </rPr>
      <t xml:space="preserve">SDD / Accredito / Bancomat / CC moglie / Contanti / Buoni pasto / Gift card / Altro</t>
    </r>
  </si>
  <si>
    <t xml:space="preserve">Nota</t>
  </si>
  <si>
    <t xml:space="preserve">Residuo mensile' fisso in G2 di ogni mese.</t>
  </si>
  <si>
    <t xml:space="preserve">Pagato</t>
  </si>
  <si>
    <t xml:space="preserve">Colonna H: menu a tendina Sì/No (facoltativo).</t>
  </si>
  <si>
    <t xml:space="preserve">Protezione soft</t>
  </si>
  <si>
    <t xml:space="preserve">F2/G2 e intestazioni bloccate; righe dati modificabili. Filtri e ordinamento abilitati.</t>
  </si>
  <si>
    <t xml:space="preserve">Modifiche</t>
  </si>
  <si>
    <t xml:space="preserve">Rimossi i duplicati 'Condominio' senza data. Abilitata eliminazione/inserimento righe anche con protezione attiva.</t>
  </si>
  <si>
    <t xml:space="preserve">Residuo/Cumulato (fissi)</t>
  </si>
  <si>
    <t xml:space="preserve">In ogni mese: Residuo in K2, Cumulato in K3 (colonne J/K, fuori tabella) per evitare sovrascritture.</t>
  </si>
  <si>
    <t xml:space="preserve">Mese</t>
  </si>
  <si>
    <t xml:space="preserve">Saldo netto mese (€)</t>
  </si>
  <si>
    <t xml:space="preserve">Saldo cumulato (€)</t>
  </si>
  <si>
    <t xml:space="preserve">Saldo iniziale (anno precedente)</t>
  </si>
  <si>
    <t xml:space="preserve">Gennaio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</si>
  <si>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</si>
  <si>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</si>
  <si>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</si>
  <si>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</si>
  <si>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</si>
  <si>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</si>
  <si>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</si>
  <si>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</si>
  <si>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</si>
  <si>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</si>
  <si>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</si>
  <si>
    <t xml:space="preserve">Saldo netto annuale</t>
  </si>
  <si>
    <t xml:space="preserve">JANUARY 2026</t>
  </si>
  <si>
    <t xml:space="preserve">Saldo netto mese</t>
  </si>
  <si>
    <t xml:space="preserve">Data</t>
  </si>
  <si>
    <t xml:space="preserve">Categoria</t>
  </si>
  <si>
    <t xml:space="preserve">Voce</t>
  </si>
  <si>
    <t xml:space="preserve">Importo (€)</t>
  </si>
  <si>
    <t xml:space="preserve">Metodo</t>
  </si>
  <si>
    <t xml:space="preserve">Note operative</t>
  </si>
  <si>
    <t xml:space="preserve">Saldo cumulato</t>
  </si>
  <si>
    <t xml:space="preserve">Prestito</t>
  </si>
  <si>
    <t xml:space="preserve">Santander prestito auto rubata</t>
  </si>
  <si>
    <t xml:space="preserve">SDD</t>
  </si>
  <si>
    <t xml:space="preserve">Picco del 1° (mantenere buffer).</t>
  </si>
  <si>
    <t xml:space="preserve">Servizio</t>
  </si>
  <si>
    <t xml:space="preserve">Subbyx (Garmin + telefoni)</t>
  </si>
  <si>
    <t xml:space="preserve">Spostata al 1°.</t>
  </si>
  <si>
    <t xml:space="preserve">Sì</t>
  </si>
  <si>
    <t xml:space="preserve">Casa</t>
  </si>
  <si>
    <t xml:space="preserve">Condominio (bimestrale)</t>
  </si>
  <si>
    <t xml:space="preserve">Mesi dispari.</t>
  </si>
  <si>
    <t xml:space="preserve">Amazon</t>
  </si>
  <si>
    <t xml:space="preserve">Amazon Prime (annuale)</t>
  </si>
  <si>
    <t xml:space="preserve">Bancomat</t>
  </si>
  <si>
    <t xml:space="preserve">Rinnovo Prime.</t>
  </si>
  <si>
    <t xml:space="preserve">Spesa</t>
  </si>
  <si>
    <t xml:space="preserve">Spesa familiare settimanale</t>
  </si>
  <si>
    <t xml:space="preserve">CC moglie</t>
  </si>
  <si>
    <t xml:space="preserve">Utenza</t>
  </si>
  <si>
    <t xml:space="preserve">Sorgenia elettricità</t>
  </si>
  <si>
    <t xml:space="preserve">Sorgenia gas</t>
  </si>
  <si>
    <t xml:space="preserve">Abbonamento Disney+ mensile</t>
  </si>
  <si>
    <t xml:space="preserve">Abbonamento Netflix mensile</t>
  </si>
  <si>
    <t xml:space="preserve">Fineco prestito personale</t>
  </si>
  <si>
    <t xml:space="preserve">Picco del 15 (mantenere buffer).</t>
  </si>
  <si>
    <t xml:space="preserve">Compass prestito auto nuova</t>
  </si>
  <si>
    <t xml:space="preserve">Picco del 15.</t>
  </si>
  <si>
    <t xml:space="preserve">WindTre fibra casa</t>
  </si>
  <si>
    <t xml:space="preserve">Essenziale.</t>
  </si>
  <si>
    <t xml:space="preserve">WindTre figli</t>
  </si>
  <si>
    <t xml:space="preserve">Auto</t>
  </si>
  <si>
    <t xml:space="preserve">Assicurazione auto (mensile)</t>
  </si>
  <si>
    <t xml:space="preserve">Da pagare entro fine mese (se no auto ferma dal 1°).</t>
  </si>
  <si>
    <t xml:space="preserve">Entrate</t>
  </si>
  <si>
    <t xml:space="preserve">Stipendio netto</t>
  </si>
  <si>
    <t xml:space="preserve">Accredito</t>
  </si>
  <si>
    <t xml:space="preserve">—</t>
  </si>
  <si>
    <t xml:space="preserve">Accredito stipendio.</t>
  </si>
  <si>
    <t xml:space="preserve">Buoni pasto</t>
  </si>
  <si>
    <t xml:space="preserve">Cibo</t>
  </si>
  <si>
    <t xml:space="preserve">Spinaci extra</t>
  </si>
  <si>
    <t xml:space="preserve">FEBRUARY 2026</t>
  </si>
  <si>
    <t xml:space="preserve">Sorgenia elettricità (stima)</t>
  </si>
  <si>
    <t xml:space="preserve">Aggiorna quando arriva la bolletta.</t>
  </si>
  <si>
    <t xml:space="preserve">Sorgenia gas (stima)</t>
  </si>
  <si>
    <t xml:space="preserve">Fisco</t>
  </si>
  <si>
    <t xml:space="preserve">AER – Rottamazione Quater (trimestrale)</t>
  </si>
  <si>
    <t xml:space="preserve">Zona rossa 25→3. Mai saltare.</t>
  </si>
  <si>
    <t xml:space="preserve">Spesa cumulata mensile: 2€/giorno.</t>
  </si>
  <si>
    <t xml:space="preserve">MARCH 2026</t>
  </si>
  <si>
    <t xml:space="preserve">APRIL 2026</t>
  </si>
  <si>
    <t xml:space="preserve">MAY 2026</t>
  </si>
  <si>
    <t xml:space="preserve">JUNE 2026</t>
  </si>
  <si>
    <t xml:space="preserve">14ª mensilità</t>
  </si>
  <si>
    <t xml:space="preserve">AUGUST 2026</t>
  </si>
  <si>
    <t xml:space="preserve">JULY 2026</t>
  </si>
  <si>
    <t xml:space="preserve">Regole operative del mese (promemoria)</t>
  </si>
  <si>
    <t xml:space="preserve">SEPTEMBER 2026</t>
  </si>
  <si>
    <t xml:space="preserve">OCTOBER 2026</t>
  </si>
  <si>
    <t xml:space="preserve">NOVEMBER 2026</t>
  </si>
  <si>
    <t xml:space="preserve">DECEMBER 2026</t>
  </si>
  <si>
    <t xml:space="preserve">13ª mensilità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</si>
</sst>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" fillId="0" borderId="1" xfId="20" applyFont="fals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3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3" borderId="1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1">
    <dxf>
      <fill>
        <patternFill patternType="solid">
          <fgColor rgb="FF404040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74.05"/>
    <col collapsed="false" customWidth="true" hidden="false" outlineLevel="0" max="2" min="2" style="1" width="126.93"/>
    <col collapsed="false" customWidth="true" hidden="false" outlineLevel="0" max="16384" min="16384" style="1" width="11.53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05.95" hidden="false" customHeight="false" outlineLevel="0" collapsed="false">
      <c r="A4" s="4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1" t="s">
        <v>4</v>
      </c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1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1" t="s">
        <v>8</v>
      </c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1" t="s">
        <v>10</v>
      </c>
    </row>
    <row r="16" customFormat="false" ht="15" hidden="false" customHeight="false" outlineLevel="0" collapsed="false">
      <c r="A16" s="1" t="s">
        <v>11</v>
      </c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1" t="s">
        <v>13</v>
      </c>
    </row>
    <row r="21" customFormat="false" ht="15" hidden="false" customHeight="true" outlineLevel="0" collapsed="false">
      <c r="A21" s="5" t="s">
        <v>14</v>
      </c>
      <c r="B21" s="5" t="s">
        <v>15</v>
      </c>
    </row>
    <row r="22" customFormat="false" ht="15" hidden="false" customHeight="true" outlineLevel="0" collapsed="false">
      <c r="A22" s="6" t="s">
        <v>16</v>
      </c>
      <c r="B22" s="6" t="s">
        <v>17</v>
      </c>
    </row>
    <row r="23" customFormat="false" ht="15" hidden="false" customHeight="true" outlineLevel="0" collapsed="false">
      <c r="A23" s="6" t="s">
        <v>18</v>
      </c>
      <c r="B23" s="6" t="s">
        <v>19</v>
      </c>
    </row>
    <row r="24" customFormat="false" ht="15" hidden="false" customHeight="true" outlineLevel="0" collapsed="false">
      <c r="A24" s="6" t="s">
        <v>20</v>
      </c>
      <c r="B24" s="6" t="s">
        <v>21</v>
      </c>
    </row>
    <row r="25" customFormat="false" ht="15" hidden="false" customHeight="true" outlineLevel="0" collapsed="false">
      <c r="A25" s="6"/>
      <c r="B25" s="6"/>
    </row>
    <row r="26" customFormat="false" ht="15" hidden="false" customHeight="true" outlineLevel="0" collapsed="false">
      <c r="A26" s="5" t="s">
        <v>22</v>
      </c>
      <c r="B26" s="5" t="s">
        <v>23</v>
      </c>
    </row>
    <row r="27" customFormat="false" ht="15" hidden="false" customHeight="true" outlineLevel="0" collapsed="false">
      <c r="A27" s="6"/>
      <c r="B27" s="6"/>
    </row>
    <row r="28" customFormat="false" ht="15" hidden="false" customHeight="true" outlineLevel="0" collapsed="false">
      <c r="A28" s="6"/>
      <c r="B28" s="6"/>
    </row>
    <row r="29" customFormat="false" ht="15" hidden="false" customHeight="true" outlineLevel="0" collapsed="false">
      <c r="A29" s="5" t="s">
        <v>24</v>
      </c>
      <c r="B29" s="5" t="s">
        <v>25</v>
      </c>
    </row>
    <row r="30" customFormat="false" ht="15" hidden="false" customHeight="true" outlineLevel="0" collapsed="false">
      <c r="A30" s="6"/>
      <c r="B30" s="6"/>
    </row>
    <row r="32" customFormat="false" ht="15" hidden="false" customHeight="true" outlineLevel="0" collapsed="false">
      <c r="A32" s="5" t="s">
        <v>26</v>
      </c>
      <c r="B32" s="6" t="s">
        <v>27</v>
      </c>
    </row>
    <row r="34" customFormat="false" ht="15" hidden="false" customHeight="true" outlineLevel="0" collapsed="false">
      <c r="A34" s="5" t="s">
        <v>28</v>
      </c>
      <c r="B34" s="6" t="s">
        <v>29</v>
      </c>
    </row>
    <row r="36" customFormat="false" ht="15" hidden="false" customHeight="true" outlineLevel="0" collapsed="false">
      <c r="A36" s="5" t="s">
        <v>30</v>
      </c>
      <c r="B36" s="6" t="s">
        <v>31</v>
      </c>
    </row>
    <row r="38" customFormat="false" ht="15" hidden="false" customHeight="true" outlineLevel="0" collapsed="false">
      <c r="A38" s="5" t="s">
        <v>32</v>
      </c>
      <c r="B38" s="6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3" activeCellId="0" sqref="C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27.3"/>
    <col collapsed="false" customWidth="true" hidden="false" outlineLevel="0" max="2" min="2" style="1" width="23"/>
    <col collapsed="false" customWidth="true" hidden="false" outlineLevel="0" max="3" min="3" style="1" width="21.32"/>
  </cols>
  <sheetData>
    <row r="1" customFormat="false" ht="15" hidden="false" customHeight="false" outlineLevel="0" collapsed="false">
      <c r="A1" s="7" t="s">
        <v>34</v>
      </c>
      <c r="B1" s="7" t="s">
        <v>35</v>
      </c>
      <c r="C1" s="7" t="s">
        <v>36</v>
      </c>
    </row>
    <row r="2" customFormat="false" ht="15" hidden="false" customHeight="false" outlineLevel="0" collapsed="false">
      <c r="A2" s="1" t="s">
        <v>37</v>
      </c>
      <c r="B2" s="8"/>
      <c r="C2" s="8" t="n">
        <v>534.94</v>
      </c>
    </row>
    <row r="3" customFormat="false" ht="15" hidden="false" customHeight="false" outlineLevel="0" collapsed="false">
      <c r="A3" s="1" t="s">
        <v>38</v>
      </c>
      <c r="B3" s="8" t="n">
        <f aca="false">'01-Jan'!$K$2</f>
        <v>295.19</v>
      </c>
      <c r="C3" s="8" t="n">
        <f aca="false">C2+B3</f>
        <v>830.13</v>
      </c>
    </row>
    <row r="4" customFormat="false" ht="15" hidden="false" customHeight="false" outlineLevel="0" collapsed="false">
      <c r="A4" s="1" t="s">
        <v>39</v>
      </c>
      <c r="B4" s="8" t="n">
        <f aca="false">'02-Feb'!$K$2</f>
        <v>276.27</v>
      </c>
      <c r="C4" s="8" t="n">
        <f aca="false">C3+B4</f>
        <v>1106.4</v>
      </c>
    </row>
    <row r="5" customFormat="false" ht="15" hidden="false" customHeight="false" outlineLevel="0" collapsed="false">
      <c r="A5" s="1" t="s">
        <v>40</v>
      </c>
      <c r="B5" s="8" t="n">
        <f aca="false">'03-Mar'!$K$2</f>
        <v>358.46</v>
      </c>
      <c r="C5" s="8" t="n">
        <f aca="false">C4+B5</f>
        <v>1464.86</v>
      </c>
    </row>
    <row r="6" customFormat="false" ht="15" hidden="false" customHeight="false" outlineLevel="0" collapsed="false">
      <c r="A6" s="1" t="s">
        <v>41</v>
      </c>
      <c r="B6" s="8" t="n">
        <f aca="false">'04-Apr'!$K$2</f>
        <v>172.46</v>
      </c>
      <c r="C6" s="8" t="n">
        <f aca="false">C5+B6</f>
        <v>1637.32</v>
      </c>
    </row>
    <row r="7" customFormat="false" ht="15" hidden="false" customHeight="false" outlineLevel="0" collapsed="false">
      <c r="A7" s="1" t="s">
        <v>42</v>
      </c>
      <c r="B7" s="8" t="n">
        <f aca="false">'05-May'!$K$2</f>
        <v>122.27</v>
      </c>
      <c r="C7" s="8" t="n">
        <f aca="false">C6+B7</f>
        <v>1759.59</v>
      </c>
    </row>
    <row r="8" customFormat="false" ht="15" hidden="false" customHeight="false" outlineLevel="0" collapsed="false">
      <c r="A8" s="1" t="s">
        <v>43</v>
      </c>
      <c r="B8" s="8" t="n">
        <f aca="false">'06-Jun'!$K$2</f>
        <v>2382.46</v>
      </c>
      <c r="C8" s="8" t="n">
        <f aca="false">C7+B8</f>
        <v>4142.05</v>
      </c>
    </row>
    <row r="9" customFormat="false" ht="15" hidden="false" customHeight="false" outlineLevel="0" collapsed="false">
      <c r="A9" s="1" t="s">
        <v>44</v>
      </c>
      <c r="B9" s="8" t="n">
        <f aca="false">'07-Jul'!$K$2</f>
        <v>-321.54</v>
      </c>
      <c r="C9" s="8" t="n">
        <f aca="false">C8+B9</f>
        <v>3820.51</v>
      </c>
    </row>
    <row r="10" customFormat="false" ht="15" hidden="false" customHeight="false" outlineLevel="0" collapsed="false">
      <c r="A10" s="1" t="s">
        <v>45</v>
      </c>
      <c r="B10" s="8" t="n">
        <f aca="false">'08-Aug'!$K$2</f>
        <v>-233.73</v>
      </c>
      <c r="C10" s="8" t="n">
        <f aca="false">C9+B10</f>
        <v>3586.78</v>
      </c>
    </row>
    <row r="11" customFormat="false" ht="15" hidden="false" customHeight="false" outlineLevel="0" collapsed="false">
      <c r="A11" s="1" t="s">
        <v>46</v>
      </c>
      <c r="B11" s="8" t="n">
        <f aca="false">'09-Sep'!$K$2</f>
        <v>-321.54</v>
      </c>
      <c r="C11" s="8" t="n">
        <f aca="false">C10+B11</f>
        <v>3265.24</v>
      </c>
    </row>
    <row r="12" customFormat="false" ht="15" hidden="false" customHeight="false" outlineLevel="0" collapsed="false">
      <c r="A12" s="1" t="s">
        <v>47</v>
      </c>
      <c r="B12" s="8" t="n">
        <f aca="false">'10-Oct'!$K$2</f>
        <v>2.46</v>
      </c>
      <c r="C12" s="8" t="n">
        <f aca="false">C11+B12</f>
        <v>3267.7</v>
      </c>
    </row>
    <row r="13" customFormat="false" ht="15" hidden="false" customHeight="false" outlineLevel="0" collapsed="false">
      <c r="A13" s="1" t="s">
        <v>48</v>
      </c>
      <c r="B13" s="8" t="n">
        <f aca="false">'11-Nov'!$K$2</f>
        <v>-557.73</v>
      </c>
      <c r="C13" s="8" t="n">
        <f aca="false">C12+B13</f>
        <v>2709.97</v>
      </c>
    </row>
    <row r="14" customFormat="false" ht="15" hidden="false" customHeight="false" outlineLevel="0" collapsed="false">
      <c r="A14" s="1" t="s">
        <v>49</v>
      </c>
      <c r="B14" s="8" t="n">
        <f aca="false">'12-Dec'!$K$2</f>
        <v>2212.46</v>
      </c>
      <c r="C14" s="8" t="n">
        <f aca="false">C13+B14</f>
        <v>4922.43</v>
      </c>
    </row>
    <row r="15" customFormat="false" ht="15" hidden="false" customHeight="false" outlineLevel="0" collapsed="false">
      <c r="A15" s="3" t="s">
        <v>50</v>
      </c>
      <c r="B15" s="9" t="n">
        <f aca="false">SUM(B3:B14)</f>
        <v>4387.49</v>
      </c>
      <c r="C15" s="9" t="n">
        <f aca="false">C14</f>
        <v>4922.43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I5" activeCellId="0" sqref="I5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51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295.19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$K$2</f>
        <v>295.19</v>
      </c>
    </row>
    <row r="4" customFormat="false" ht="18" hidden="false" customHeight="true" outlineLevel="0" collapsed="false">
      <c r="A4" s="13" t="n">
        <v>46023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46023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 t="s">
        <v>67</v>
      </c>
    </row>
    <row r="6" customFormat="false" ht="18" hidden="false" customHeight="true" outlineLevel="0" collapsed="false">
      <c r="A6" s="13" t="n">
        <v>46023</v>
      </c>
      <c r="B6" s="14" t="s">
        <v>68</v>
      </c>
      <c r="C6" s="14" t="s">
        <v>69</v>
      </c>
      <c r="D6" s="15" t="n">
        <v>-154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46024</v>
      </c>
      <c r="B7" s="14" t="s">
        <v>71</v>
      </c>
      <c r="C7" s="14" t="s">
        <v>72</v>
      </c>
      <c r="D7" s="15" t="n">
        <v>-49.99</v>
      </c>
      <c r="E7" s="14" t="s">
        <v>73</v>
      </c>
      <c r="F7" s="16" t="s">
        <v>20</v>
      </c>
      <c r="G7" s="17" t="s">
        <v>74</v>
      </c>
      <c r="H7" s="18"/>
    </row>
    <row r="8" customFormat="false" ht="18" hidden="false" customHeight="true" outlineLevel="0" collapsed="false">
      <c r="A8" s="13" t="n">
        <v>46025</v>
      </c>
      <c r="B8" s="14" t="s">
        <v>75</v>
      </c>
      <c r="C8" s="14" t="s">
        <v>76</v>
      </c>
      <c r="D8" s="15" t="n">
        <v>0</v>
      </c>
      <c r="E8" s="14" t="s">
        <v>77</v>
      </c>
      <c r="F8" s="16" t="s">
        <v>18</v>
      </c>
      <c r="G8" s="17"/>
      <c r="H8" s="18"/>
    </row>
    <row r="9" customFormat="false" ht="18" hidden="false" customHeight="true" outlineLevel="0" collapsed="false">
      <c r="A9" s="13" t="n">
        <v>46027</v>
      </c>
      <c r="B9" s="14" t="s">
        <v>78</v>
      </c>
      <c r="C9" s="14" t="s">
        <v>79</v>
      </c>
      <c r="D9" s="15" t="n">
        <v>-123.71</v>
      </c>
      <c r="E9" s="14" t="s">
        <v>62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46027</v>
      </c>
      <c r="B10" s="14" t="s">
        <v>78</v>
      </c>
      <c r="C10" s="14" t="s">
        <v>80</v>
      </c>
      <c r="D10" s="15" t="n">
        <v>-29.57</v>
      </c>
      <c r="E10" s="14" t="s">
        <v>62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46031</v>
      </c>
      <c r="B11" s="14" t="s">
        <v>64</v>
      </c>
      <c r="C11" s="14" t="s">
        <v>81</v>
      </c>
      <c r="D11" s="15" t="n">
        <v>-6.99</v>
      </c>
      <c r="E11" s="14" t="s">
        <v>73</v>
      </c>
      <c r="F11" s="16" t="s">
        <v>20</v>
      </c>
      <c r="G11" s="17"/>
      <c r="H11" s="18"/>
    </row>
    <row r="12" customFormat="false" ht="18" hidden="false" customHeight="true" outlineLevel="0" collapsed="false">
      <c r="A12" s="13" t="n">
        <v>46032</v>
      </c>
      <c r="B12" s="14" t="s">
        <v>64</v>
      </c>
      <c r="C12" s="14" t="s">
        <v>82</v>
      </c>
      <c r="D12" s="15" t="n">
        <v>-6.99</v>
      </c>
      <c r="E12" s="14" t="s">
        <v>73</v>
      </c>
      <c r="F12" s="16" t="s">
        <v>20</v>
      </c>
      <c r="G12" s="17"/>
      <c r="H12" s="18"/>
    </row>
    <row r="13" customFormat="false" ht="18" hidden="false" customHeight="true" outlineLevel="0" collapsed="false">
      <c r="A13" s="13" t="n">
        <v>46032</v>
      </c>
      <c r="B13" s="14" t="s">
        <v>75</v>
      </c>
      <c r="C13" s="14" t="s">
        <v>76</v>
      </c>
      <c r="D13" s="15" t="n">
        <v>0</v>
      </c>
      <c r="E13" s="14" t="s">
        <v>77</v>
      </c>
      <c r="F13" s="16" t="s">
        <v>18</v>
      </c>
      <c r="G13" s="17"/>
      <c r="H13" s="18"/>
    </row>
    <row r="14" customFormat="false" ht="18" hidden="false" customHeight="true" outlineLevel="0" collapsed="false">
      <c r="A14" s="13" t="n">
        <v>46037</v>
      </c>
      <c r="B14" s="14" t="s">
        <v>60</v>
      </c>
      <c r="C14" s="14" t="s">
        <v>83</v>
      </c>
      <c r="D14" s="15" t="n">
        <v>-218</v>
      </c>
      <c r="E14" s="14" t="s">
        <v>62</v>
      </c>
      <c r="F14" s="16" t="s">
        <v>16</v>
      </c>
      <c r="G14" s="17" t="s">
        <v>84</v>
      </c>
      <c r="H14" s="18"/>
    </row>
    <row r="15" customFormat="false" ht="18" hidden="false" customHeight="true" outlineLevel="0" collapsed="false">
      <c r="A15" s="13" t="n">
        <v>46037</v>
      </c>
      <c r="B15" s="14" t="s">
        <v>60</v>
      </c>
      <c r="C15" s="14" t="s">
        <v>85</v>
      </c>
      <c r="D15" s="15" t="n">
        <v>-545</v>
      </c>
      <c r="E15" s="14" t="s">
        <v>62</v>
      </c>
      <c r="F15" s="16" t="s">
        <v>16</v>
      </c>
      <c r="G15" s="17" t="s">
        <v>86</v>
      </c>
      <c r="H15" s="18"/>
    </row>
    <row r="16" customFormat="false" ht="18" hidden="false" customHeight="true" outlineLevel="0" collapsed="false">
      <c r="A16" s="13" t="n">
        <v>46037</v>
      </c>
      <c r="B16" s="14" t="s">
        <v>78</v>
      </c>
      <c r="C16" s="14" t="s">
        <v>87</v>
      </c>
      <c r="D16" s="15" t="n">
        <v>-31</v>
      </c>
      <c r="E16" s="14" t="s">
        <v>62</v>
      </c>
      <c r="F16" s="16" t="s">
        <v>18</v>
      </c>
      <c r="G16" s="17" t="s">
        <v>88</v>
      </c>
      <c r="H16" s="18"/>
    </row>
    <row r="17" customFormat="false" ht="18" hidden="false" customHeight="true" outlineLevel="0" collapsed="false">
      <c r="A17" s="13" t="n">
        <v>46037</v>
      </c>
      <c r="B17" s="14" t="s">
        <v>78</v>
      </c>
      <c r="C17" s="14" t="s">
        <v>89</v>
      </c>
      <c r="D17" s="15" t="n">
        <v>-14</v>
      </c>
      <c r="E17" s="14" t="s">
        <v>62</v>
      </c>
      <c r="F17" s="16" t="s">
        <v>18</v>
      </c>
      <c r="G17" s="17" t="s">
        <v>88</v>
      </c>
      <c r="H17" s="18"/>
    </row>
    <row r="18" customFormat="false" ht="19.5" hidden="false" customHeight="true" outlineLevel="0" collapsed="false">
      <c r="A18" s="13" t="n">
        <v>46039</v>
      </c>
      <c r="B18" s="14" t="s">
        <v>75</v>
      </c>
      <c r="C18" s="14" t="s">
        <v>76</v>
      </c>
      <c r="D18" s="15" t="n">
        <v>0</v>
      </c>
      <c r="E18" s="14" t="s">
        <v>77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46046</v>
      </c>
      <c r="B19" s="14" t="s">
        <v>75</v>
      </c>
      <c r="C19" s="14" t="s">
        <v>76</v>
      </c>
      <c r="D19" s="15" t="n">
        <v>0</v>
      </c>
      <c r="E19" s="14" t="s">
        <v>77</v>
      </c>
      <c r="F19" s="16" t="s">
        <v>18</v>
      </c>
      <c r="G19" s="17"/>
      <c r="H19" s="18"/>
    </row>
    <row r="20" customFormat="false" ht="18" hidden="false" customHeight="true" outlineLevel="0" collapsed="false">
      <c r="A20" s="13" t="n">
        <v>46048</v>
      </c>
      <c r="B20" s="14" t="s">
        <v>90</v>
      </c>
      <c r="C20" s="14" t="s">
        <v>91</v>
      </c>
      <c r="D20" s="15" t="n">
        <v>-125.56</v>
      </c>
      <c r="E20" s="14" t="s">
        <v>73</v>
      </c>
      <c r="F20" s="16" t="s">
        <v>16</v>
      </c>
      <c r="G20" s="17" t="s">
        <v>92</v>
      </c>
      <c r="H20" s="18"/>
    </row>
    <row r="21" customFormat="false" ht="18" hidden="false" customHeight="true" outlineLevel="0" collapsed="false">
      <c r="A21" s="13" t="n">
        <v>46049</v>
      </c>
      <c r="B21" s="14" t="s">
        <v>93</v>
      </c>
      <c r="C21" s="14" t="s">
        <v>94</v>
      </c>
      <c r="D21" s="15" t="n">
        <v>2380</v>
      </c>
      <c r="E21" s="14" t="s">
        <v>95</v>
      </c>
      <c r="F21" s="16" t="s">
        <v>96</v>
      </c>
      <c r="G21" s="17" t="s">
        <v>97</v>
      </c>
      <c r="H21" s="18"/>
    </row>
    <row r="22" customFormat="false" ht="18" hidden="false" customHeight="true" outlineLevel="0" collapsed="false">
      <c r="A22" s="13" t="n">
        <v>46053</v>
      </c>
      <c r="B22" s="14" t="s">
        <v>75</v>
      </c>
      <c r="C22" s="14" t="s">
        <v>76</v>
      </c>
      <c r="D22" s="15" t="n">
        <v>0</v>
      </c>
      <c r="E22" s="14" t="s">
        <v>98</v>
      </c>
      <c r="F22" s="16" t="s">
        <v>18</v>
      </c>
      <c r="G22" s="17"/>
      <c r="H22" s="18"/>
    </row>
    <row r="23" customFormat="false" ht="16.4" hidden="false" customHeight="false" outlineLevel="0" collapsed="false">
      <c r="A23" s="13" t="n">
        <v>46053</v>
      </c>
      <c r="B23" s="14" t="s">
        <v>99</v>
      </c>
      <c r="C23" s="14" t="s">
        <v>100</v>
      </c>
      <c r="D23" s="15" t="n">
        <f aca="false">-(0)</f>
        <v>-0</v>
      </c>
      <c r="E23" s="14" t="s">
        <v>73</v>
      </c>
      <c r="F23" s="16" t="s">
        <v>16</v>
      </c>
      <c r="G23" s="17"/>
      <c r="H23" s="18"/>
    </row>
    <row r="24" customFormat="false" ht="15" hidden="false" customHeight="false" outlineLevel="0" collapsed="false">
      <c r="A24" s="13"/>
      <c r="B24" s="19"/>
      <c r="C24" s="19"/>
      <c r="D24" s="19"/>
      <c r="E24" s="19"/>
      <c r="F24" s="19"/>
      <c r="G24" s="20"/>
      <c r="H24" s="18"/>
    </row>
    <row r="25" customFormat="false" ht="16.4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5:H25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4" activeCellId="0" sqref="A2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101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276.27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'01-Jan'!$K$3+$K$2</f>
        <v>571.46</v>
      </c>
    </row>
    <row r="4" customFormat="false" ht="18" hidden="false" customHeight="true" outlineLevel="0" collapsed="false">
      <c r="A4" s="13" t="n">
        <v>46054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46054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46060</v>
      </c>
      <c r="B6" s="14" t="s">
        <v>75</v>
      </c>
      <c r="C6" s="14" t="s">
        <v>76</v>
      </c>
      <c r="D6" s="15" t="n">
        <v>0</v>
      </c>
      <c r="E6" s="14" t="s">
        <v>77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46068</v>
      </c>
      <c r="B7" s="14" t="s">
        <v>78</v>
      </c>
      <c r="C7" s="14" t="s">
        <v>102</v>
      </c>
      <c r="D7" s="15" t="n">
        <v>-120</v>
      </c>
      <c r="E7" s="14" t="s">
        <v>62</v>
      </c>
      <c r="F7" s="16" t="s">
        <v>18</v>
      </c>
      <c r="G7" s="17" t="s">
        <v>103</v>
      </c>
      <c r="H7" s="18"/>
    </row>
    <row r="8" customFormat="false" ht="18" hidden="false" customHeight="true" outlineLevel="0" collapsed="false">
      <c r="A8" s="13" t="n">
        <v>46068</v>
      </c>
      <c r="B8" s="14" t="s">
        <v>78</v>
      </c>
      <c r="C8" s="14" t="s">
        <v>104</v>
      </c>
      <c r="D8" s="15" t="n">
        <v>-20</v>
      </c>
      <c r="E8" s="14" t="s">
        <v>62</v>
      </c>
      <c r="F8" s="16" t="s">
        <v>18</v>
      </c>
      <c r="G8" s="17" t="s">
        <v>103</v>
      </c>
      <c r="H8" s="18"/>
    </row>
    <row r="9" customFormat="false" ht="18" hidden="false" customHeight="true" outlineLevel="0" collapsed="false">
      <c r="A9" s="13" t="n">
        <v>46062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46063</v>
      </c>
      <c r="B10" s="14" t="s">
        <v>64</v>
      </c>
      <c r="C10" s="14" t="s">
        <v>82</v>
      </c>
      <c r="D10" s="15" t="n">
        <v>-6.99</v>
      </c>
      <c r="E10" s="14" t="s">
        <v>73</v>
      </c>
      <c r="F10" s="16" t="s">
        <v>20</v>
      </c>
      <c r="G10" s="17"/>
      <c r="H10" s="18"/>
    </row>
    <row r="11" customFormat="false" ht="18" hidden="false" customHeight="true" outlineLevel="0" collapsed="false">
      <c r="A11" s="13" t="n">
        <v>46067</v>
      </c>
      <c r="B11" s="14" t="s">
        <v>75</v>
      </c>
      <c r="C11" s="14" t="s">
        <v>76</v>
      </c>
      <c r="D11" s="15" t="n">
        <v>0</v>
      </c>
      <c r="E11" s="14" t="s">
        <v>77</v>
      </c>
      <c r="F11" s="16" t="s">
        <v>18</v>
      </c>
      <c r="G11" s="17"/>
      <c r="H11" s="18"/>
    </row>
    <row r="12" customFormat="false" ht="18" hidden="false" customHeight="true" outlineLevel="0" collapsed="false">
      <c r="A12" s="13" t="n">
        <v>46068</v>
      </c>
      <c r="B12" s="14" t="s">
        <v>60</v>
      </c>
      <c r="C12" s="14" t="s">
        <v>83</v>
      </c>
      <c r="D12" s="15" t="n">
        <v>-218</v>
      </c>
      <c r="E12" s="14" t="s">
        <v>62</v>
      </c>
      <c r="F12" s="16" t="s">
        <v>16</v>
      </c>
      <c r="G12" s="17" t="s">
        <v>84</v>
      </c>
      <c r="H12" s="18"/>
    </row>
    <row r="13" customFormat="false" ht="18" hidden="false" customHeight="true" outlineLevel="0" collapsed="false">
      <c r="A13" s="13" t="n">
        <v>46068</v>
      </c>
      <c r="B13" s="14" t="s">
        <v>60</v>
      </c>
      <c r="C13" s="14" t="s">
        <v>85</v>
      </c>
      <c r="D13" s="15" t="n">
        <v>-545</v>
      </c>
      <c r="E13" s="14" t="s">
        <v>62</v>
      </c>
      <c r="F13" s="16" t="s">
        <v>16</v>
      </c>
      <c r="G13" s="17" t="s">
        <v>86</v>
      </c>
      <c r="H13" s="18"/>
    </row>
    <row r="14" customFormat="false" ht="18" hidden="false" customHeight="true" outlineLevel="0" collapsed="false">
      <c r="A14" s="13" t="n">
        <v>46068</v>
      </c>
      <c r="B14" s="14" t="s">
        <v>78</v>
      </c>
      <c r="C14" s="14" t="s">
        <v>87</v>
      </c>
      <c r="D14" s="15" t="n">
        <v>-31</v>
      </c>
      <c r="E14" s="14" t="s">
        <v>62</v>
      </c>
      <c r="F14" s="16" t="s">
        <v>18</v>
      </c>
      <c r="G14" s="17" t="s">
        <v>88</v>
      </c>
      <c r="H14" s="18"/>
    </row>
    <row r="15" customFormat="false" ht="18" hidden="false" customHeight="true" outlineLevel="0" collapsed="false">
      <c r="A15" s="13" t="n">
        <v>46068</v>
      </c>
      <c r="B15" s="14" t="s">
        <v>78</v>
      </c>
      <c r="C15" s="14" t="s">
        <v>89</v>
      </c>
      <c r="D15" s="15" t="n">
        <v>-14</v>
      </c>
      <c r="E15" s="14" t="s">
        <v>62</v>
      </c>
      <c r="F15" s="16" t="s">
        <v>18</v>
      </c>
      <c r="G15" s="17" t="s">
        <v>88</v>
      </c>
      <c r="H15" s="18"/>
    </row>
    <row r="16" customFormat="false" ht="18" hidden="false" customHeight="true" outlineLevel="0" collapsed="false">
      <c r="A16" s="13" t="n">
        <v>46074</v>
      </c>
      <c r="B16" s="14" t="s">
        <v>75</v>
      </c>
      <c r="C16" s="14" t="s">
        <v>76</v>
      </c>
      <c r="D16" s="15" t="n">
        <v>0</v>
      </c>
      <c r="E16" s="14" t="s">
        <v>77</v>
      </c>
      <c r="F16" s="16" t="s">
        <v>18</v>
      </c>
      <c r="G16" s="17"/>
      <c r="H16" s="18"/>
    </row>
    <row r="17" customFormat="false" ht="18" hidden="false" customHeight="true" outlineLevel="0" collapsed="false">
      <c r="A17" s="13" t="n">
        <v>46079</v>
      </c>
      <c r="B17" s="14" t="s">
        <v>90</v>
      </c>
      <c r="C17" s="14" t="s">
        <v>91</v>
      </c>
      <c r="D17" s="15" t="n">
        <v>-125.56</v>
      </c>
      <c r="E17" s="14" t="s">
        <v>73</v>
      </c>
      <c r="F17" s="16" t="s">
        <v>16</v>
      </c>
      <c r="G17" s="17" t="s">
        <v>92</v>
      </c>
      <c r="H17" s="18"/>
    </row>
    <row r="18" customFormat="false" ht="19.5" hidden="false" customHeight="true" outlineLevel="0" collapsed="false">
      <c r="A18" s="13" t="n">
        <v>46080</v>
      </c>
      <c r="B18" s="14" t="s">
        <v>93</v>
      </c>
      <c r="C18" s="14" t="s">
        <v>94</v>
      </c>
      <c r="D18" s="15" t="n">
        <v>2380</v>
      </c>
      <c r="E18" s="14" t="s">
        <v>95</v>
      </c>
      <c r="F18" s="16" t="s">
        <v>96</v>
      </c>
      <c r="G18" s="17" t="s">
        <v>97</v>
      </c>
      <c r="H18" s="18"/>
    </row>
    <row r="19" customFormat="false" ht="18" hidden="false" customHeight="true" outlineLevel="0" collapsed="false">
      <c r="A19" s="13" t="n">
        <v>46081</v>
      </c>
      <c r="B19" s="14" t="s">
        <v>105</v>
      </c>
      <c r="C19" s="14" t="s">
        <v>106</v>
      </c>
      <c r="D19" s="15" t="n">
        <v>-236.19</v>
      </c>
      <c r="E19" s="14" t="s">
        <v>62</v>
      </c>
      <c r="F19" s="16" t="s">
        <v>16</v>
      </c>
      <c r="G19" s="17" t="s">
        <v>107</v>
      </c>
      <c r="H19" s="18"/>
    </row>
    <row r="20" customFormat="false" ht="18" hidden="false" customHeight="true" outlineLevel="0" collapsed="false">
      <c r="A20" s="13" t="n">
        <v>46081</v>
      </c>
      <c r="B20" s="14" t="s">
        <v>75</v>
      </c>
      <c r="C20" s="14" t="s">
        <v>76</v>
      </c>
      <c r="D20" s="15" t="n">
        <v>0</v>
      </c>
      <c r="E20" s="14" t="s">
        <v>98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46081</v>
      </c>
      <c r="B21" s="14" t="s">
        <v>99</v>
      </c>
      <c r="C21" s="14" t="s">
        <v>100</v>
      </c>
      <c r="D21" s="15" t="n">
        <f aca="false">-(0)</f>
        <v>-0</v>
      </c>
      <c r="E21" s="14" t="s">
        <v>73</v>
      </c>
      <c r="F21" s="16" t="s">
        <v>16</v>
      </c>
      <c r="G21" s="17" t="s">
        <v>108</v>
      </c>
      <c r="H21" s="18"/>
    </row>
    <row r="22" customFormat="false" ht="18" hidden="false" customHeight="true" outlineLevel="0" collapsed="false">
      <c r="A22" s="13"/>
      <c r="B22" s="14"/>
      <c r="C22" s="14"/>
      <c r="D22" s="15"/>
      <c r="E22" s="14"/>
      <c r="F22" s="16"/>
      <c r="G22" s="17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24"/>
      <c r="C24" s="24"/>
      <c r="D24" s="24"/>
      <c r="E24" s="24"/>
      <c r="F24" s="24"/>
      <c r="G24" s="24"/>
      <c r="H24" s="18"/>
    </row>
    <row r="25" customFormat="false" ht="15" hidden="false" customHeight="false" outlineLevel="0" collapsed="false">
      <c r="A25" s="13"/>
      <c r="B25" s="14"/>
      <c r="C25" s="14"/>
      <c r="D25" s="24"/>
      <c r="E25" s="24"/>
      <c r="F25" s="24"/>
      <c r="G25" s="24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4:F8 F11:F142" type="list">
      <formula1>"A,B,C,—"</formula1>
      <formula2>0</formula2>
    </dataValidation>
    <dataValidation allowBlank="true" errorStyle="stop" operator="between" showDropDown="false" showErrorMessage="false" showInputMessage="false" sqref="E4:E8 E11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8 H11:H142" type="list">
      <formula1>"Sì,No"</formula1>
      <formula2>0</formula2>
    </dataValidation>
    <dataValidation allowBlank="true" errorStyle="stop" operator="between" showDropDown="false" showErrorMessage="false" showInputMessage="false" sqref="F9:F10" type="list">
      <formula1>"A,B,C,—"</formula1>
      <formula2>0</formula2>
    </dataValidation>
    <dataValidation allowBlank="true" errorStyle="stop" operator="between" showDropDown="false" showErrorMessage="false" showInputMessage="false" sqref="E9:E10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9:H10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7" activeCellId="0" sqref="A1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109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358.46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'02-Feb'!$K$3+$K$2</f>
        <v>929.92</v>
      </c>
    </row>
    <row r="4" customFormat="false" ht="18" hidden="false" customHeight="true" outlineLevel="0" collapsed="false">
      <c r="A4" s="13" t="n">
        <v>46082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46082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46082</v>
      </c>
      <c r="B6" s="14" t="s">
        <v>68</v>
      </c>
      <c r="C6" s="14" t="s">
        <v>69</v>
      </c>
      <c r="D6" s="15" t="n">
        <v>-154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46096</v>
      </c>
      <c r="B7" s="14" t="s">
        <v>78</v>
      </c>
      <c r="C7" s="14" t="s">
        <v>102</v>
      </c>
      <c r="D7" s="15" t="n">
        <v>-120</v>
      </c>
      <c r="E7" s="14" t="s">
        <v>62</v>
      </c>
      <c r="F7" s="16" t="s">
        <v>18</v>
      </c>
      <c r="G7" s="17" t="s">
        <v>103</v>
      </c>
      <c r="H7" s="18"/>
    </row>
    <row r="8" customFormat="false" ht="18" hidden="false" customHeight="true" outlineLevel="0" collapsed="false">
      <c r="A8" s="13" t="n">
        <v>46096</v>
      </c>
      <c r="B8" s="14" t="s">
        <v>78</v>
      </c>
      <c r="C8" s="14" t="s">
        <v>104</v>
      </c>
      <c r="D8" s="15" t="n">
        <v>-20</v>
      </c>
      <c r="E8" s="14" t="s">
        <v>62</v>
      </c>
      <c r="F8" s="16" t="s">
        <v>18</v>
      </c>
      <c r="G8" s="17" t="s">
        <v>103</v>
      </c>
      <c r="H8" s="18"/>
    </row>
    <row r="9" customFormat="false" ht="18" hidden="false" customHeight="true" outlineLevel="0" collapsed="false">
      <c r="A9" s="13" t="n">
        <v>46088</v>
      </c>
      <c r="B9" s="14" t="s">
        <v>75</v>
      </c>
      <c r="C9" s="14" t="s">
        <v>76</v>
      </c>
      <c r="D9" s="15" t="n">
        <v>0</v>
      </c>
      <c r="E9" s="14" t="s">
        <v>77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46090</v>
      </c>
      <c r="B10" s="14" t="s">
        <v>64</v>
      </c>
      <c r="C10" s="14" t="s">
        <v>81</v>
      </c>
      <c r="D10" s="15" t="n">
        <v>-6.99</v>
      </c>
      <c r="E10" s="14" t="s">
        <v>73</v>
      </c>
      <c r="F10" s="16" t="s">
        <v>20</v>
      </c>
      <c r="G10" s="17"/>
      <c r="H10" s="18"/>
    </row>
    <row r="11" customFormat="false" ht="18" hidden="false" customHeight="true" outlineLevel="0" collapsed="false">
      <c r="A11" s="13" t="n">
        <v>46091</v>
      </c>
      <c r="B11" s="14" t="s">
        <v>64</v>
      </c>
      <c r="C11" s="14" t="s">
        <v>82</v>
      </c>
      <c r="D11" s="15" t="n">
        <v>-6.99</v>
      </c>
      <c r="E11" s="14" t="s">
        <v>73</v>
      </c>
      <c r="F11" s="16" t="s">
        <v>20</v>
      </c>
      <c r="G11" s="17"/>
      <c r="H11" s="18"/>
    </row>
    <row r="12" customFormat="false" ht="18" hidden="false" customHeight="true" outlineLevel="0" collapsed="false">
      <c r="A12" s="13" t="n">
        <v>46095</v>
      </c>
      <c r="B12" s="14" t="s">
        <v>75</v>
      </c>
      <c r="C12" s="14" t="s">
        <v>76</v>
      </c>
      <c r="D12" s="15" t="n">
        <v>0</v>
      </c>
      <c r="E12" s="14" t="s">
        <v>77</v>
      </c>
      <c r="F12" s="16" t="s">
        <v>18</v>
      </c>
      <c r="G12" s="17"/>
      <c r="H12" s="18"/>
    </row>
    <row r="13" customFormat="false" ht="18" hidden="false" customHeight="true" outlineLevel="0" collapsed="false">
      <c r="A13" s="13" t="n">
        <v>46096</v>
      </c>
      <c r="B13" s="14" t="s">
        <v>60</v>
      </c>
      <c r="C13" s="14" t="s">
        <v>83</v>
      </c>
      <c r="D13" s="15" t="n">
        <v>-218</v>
      </c>
      <c r="E13" s="14" t="s">
        <v>62</v>
      </c>
      <c r="F13" s="16" t="s">
        <v>16</v>
      </c>
      <c r="G13" s="17" t="s">
        <v>84</v>
      </c>
      <c r="H13" s="18"/>
    </row>
    <row r="14" customFormat="false" ht="18" hidden="false" customHeight="true" outlineLevel="0" collapsed="false">
      <c r="A14" s="13" t="n">
        <v>46096</v>
      </c>
      <c r="B14" s="14" t="s">
        <v>60</v>
      </c>
      <c r="C14" s="14" t="s">
        <v>85</v>
      </c>
      <c r="D14" s="15" t="n">
        <v>-545</v>
      </c>
      <c r="E14" s="14" t="s">
        <v>62</v>
      </c>
      <c r="F14" s="16" t="s">
        <v>16</v>
      </c>
      <c r="G14" s="17" t="s">
        <v>86</v>
      </c>
      <c r="H14" s="18"/>
    </row>
    <row r="15" customFormat="false" ht="18" hidden="false" customHeight="true" outlineLevel="0" collapsed="false">
      <c r="A15" s="13" t="n">
        <v>46096</v>
      </c>
      <c r="B15" s="14" t="s">
        <v>78</v>
      </c>
      <c r="C15" s="14" t="s">
        <v>87</v>
      </c>
      <c r="D15" s="15" t="n">
        <v>-31</v>
      </c>
      <c r="E15" s="14" t="s">
        <v>62</v>
      </c>
      <c r="F15" s="16" t="s">
        <v>18</v>
      </c>
      <c r="G15" s="17" t="s">
        <v>88</v>
      </c>
      <c r="H15" s="18"/>
    </row>
    <row r="16" customFormat="false" ht="18" hidden="false" customHeight="true" outlineLevel="0" collapsed="false">
      <c r="A16" s="13" t="n">
        <v>46096</v>
      </c>
      <c r="B16" s="14" t="s">
        <v>78</v>
      </c>
      <c r="C16" s="14" t="s">
        <v>89</v>
      </c>
      <c r="D16" s="15" t="n">
        <v>-14</v>
      </c>
      <c r="E16" s="14" t="s">
        <v>62</v>
      </c>
      <c r="F16" s="16" t="s">
        <v>18</v>
      </c>
      <c r="G16" s="17" t="s">
        <v>88</v>
      </c>
      <c r="H16" s="18"/>
    </row>
    <row r="17" customFormat="false" ht="19.5" hidden="false" customHeight="true" outlineLevel="0" collapsed="false">
      <c r="A17" s="13" t="n">
        <v>46102</v>
      </c>
      <c r="B17" s="14" t="s">
        <v>75</v>
      </c>
      <c r="C17" s="14" t="s">
        <v>76</v>
      </c>
      <c r="D17" s="15" t="n">
        <v>0</v>
      </c>
      <c r="E17" s="14" t="s">
        <v>77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46107</v>
      </c>
      <c r="B18" s="14" t="s">
        <v>90</v>
      </c>
      <c r="C18" s="14" t="s">
        <v>91</v>
      </c>
      <c r="D18" s="15" t="n">
        <v>-125.56</v>
      </c>
      <c r="E18" s="14" t="s">
        <v>73</v>
      </c>
      <c r="F18" s="16" t="s">
        <v>16</v>
      </c>
      <c r="G18" s="17" t="s">
        <v>92</v>
      </c>
      <c r="H18" s="18"/>
    </row>
    <row r="19" customFormat="false" ht="18" hidden="false" customHeight="true" outlineLevel="0" collapsed="false">
      <c r="A19" s="13" t="n">
        <v>46108</v>
      </c>
      <c r="B19" s="14" t="s">
        <v>93</v>
      </c>
      <c r="C19" s="14" t="s">
        <v>94</v>
      </c>
      <c r="D19" s="15" t="n">
        <v>2380</v>
      </c>
      <c r="E19" s="14" t="s">
        <v>95</v>
      </c>
      <c r="F19" s="16" t="s">
        <v>96</v>
      </c>
      <c r="G19" s="17" t="s">
        <v>97</v>
      </c>
      <c r="H19" s="18"/>
    </row>
    <row r="20" customFormat="false" ht="18" hidden="false" customHeight="true" outlineLevel="0" collapsed="false">
      <c r="A20" s="13" t="n">
        <v>46109</v>
      </c>
      <c r="B20" s="14" t="s">
        <v>75</v>
      </c>
      <c r="C20" s="14" t="s">
        <v>76</v>
      </c>
      <c r="D20" s="15" t="n">
        <v>0</v>
      </c>
      <c r="E20" s="14" t="s">
        <v>98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46112</v>
      </c>
      <c r="B21" s="14" t="s">
        <v>99</v>
      </c>
      <c r="C21" s="14" t="s">
        <v>100</v>
      </c>
      <c r="D21" s="15" t="n">
        <f aca="false">-(0)</f>
        <v>-0</v>
      </c>
      <c r="E21" s="14" t="s">
        <v>73</v>
      </c>
      <c r="F21" s="16" t="s">
        <v>16</v>
      </c>
      <c r="G21" s="17" t="s">
        <v>108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4:F9 F12:F142" type="list">
      <formula1>"A,B,C,—"</formula1>
      <formula2>0</formula2>
    </dataValidation>
    <dataValidation allowBlank="true" errorStyle="stop" operator="between" showDropDown="false" showErrorMessage="false" showInputMessage="false" sqref="E4:E9 E12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9 H12:H142" type="list">
      <formula1>"Sì,No"</formula1>
      <formula2>0</formula2>
    </dataValidation>
    <dataValidation allowBlank="true" errorStyle="stop" operator="between" showDropDown="false" showErrorMessage="false" showInputMessage="false" sqref="F10:F11" type="list">
      <formula1>"A,B,C,—"</formula1>
      <formula2>0</formula2>
    </dataValidation>
    <dataValidation allowBlank="true" errorStyle="stop" operator="between" showDropDown="false" showErrorMessage="false" showInputMessage="false" sqref="E10:E11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10:H11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2" activeCellId="0" sqref="A22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110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172.46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'03-Mar'!$K$3+$K$2</f>
        <v>1102.38</v>
      </c>
    </row>
    <row r="4" customFormat="false" ht="18" hidden="false" customHeight="true" outlineLevel="0" collapsed="false">
      <c r="A4" s="13" t="n">
        <v>46113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46113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46116</v>
      </c>
      <c r="B6" s="14" t="s">
        <v>75</v>
      </c>
      <c r="C6" s="14" t="s">
        <v>76</v>
      </c>
      <c r="D6" s="15" t="n">
        <v>0</v>
      </c>
      <c r="E6" s="14" t="s">
        <v>77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46121</v>
      </c>
      <c r="B7" s="14" t="s">
        <v>64</v>
      </c>
      <c r="C7" s="14" t="s">
        <v>81</v>
      </c>
      <c r="D7" s="15" t="n">
        <v>-6.99</v>
      </c>
      <c r="E7" s="14" t="s">
        <v>73</v>
      </c>
      <c r="F7" s="16" t="s">
        <v>20</v>
      </c>
      <c r="G7" s="17"/>
      <c r="H7" s="18"/>
    </row>
    <row r="8" customFormat="false" ht="18" hidden="false" customHeight="true" outlineLevel="0" collapsed="false">
      <c r="A8" s="13" t="n">
        <v>46122</v>
      </c>
      <c r="B8" s="14" t="s">
        <v>64</v>
      </c>
      <c r="C8" s="14" t="s">
        <v>82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46123</v>
      </c>
      <c r="B9" s="14" t="s">
        <v>75</v>
      </c>
      <c r="C9" s="14" t="s">
        <v>76</v>
      </c>
      <c r="D9" s="15" t="n">
        <v>0</v>
      </c>
      <c r="E9" s="14" t="s">
        <v>77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46127</v>
      </c>
      <c r="B10" s="14" t="s">
        <v>60</v>
      </c>
      <c r="C10" s="14" t="s">
        <v>83</v>
      </c>
      <c r="D10" s="15" t="n">
        <v>-218</v>
      </c>
      <c r="E10" s="14" t="s">
        <v>62</v>
      </c>
      <c r="F10" s="16" t="s">
        <v>16</v>
      </c>
      <c r="G10" s="17" t="s">
        <v>84</v>
      </c>
      <c r="H10" s="18"/>
    </row>
    <row r="11" customFormat="false" ht="18" hidden="false" customHeight="true" outlineLevel="0" collapsed="false">
      <c r="A11" s="13" t="n">
        <v>46127</v>
      </c>
      <c r="B11" s="14" t="s">
        <v>60</v>
      </c>
      <c r="C11" s="14" t="s">
        <v>85</v>
      </c>
      <c r="D11" s="15" t="n">
        <v>-545</v>
      </c>
      <c r="E11" s="14" t="s">
        <v>62</v>
      </c>
      <c r="F11" s="16" t="s">
        <v>16</v>
      </c>
      <c r="G11" s="17" t="s">
        <v>86</v>
      </c>
      <c r="H11" s="18"/>
    </row>
    <row r="12" customFormat="false" ht="18" hidden="false" customHeight="true" outlineLevel="0" collapsed="false">
      <c r="A12" s="13" t="n">
        <v>46127</v>
      </c>
      <c r="B12" s="14" t="s">
        <v>78</v>
      </c>
      <c r="C12" s="14" t="s">
        <v>87</v>
      </c>
      <c r="D12" s="15" t="n">
        <v>-31</v>
      </c>
      <c r="E12" s="14" t="s">
        <v>62</v>
      </c>
      <c r="F12" s="16" t="s">
        <v>18</v>
      </c>
      <c r="G12" s="17" t="s">
        <v>88</v>
      </c>
      <c r="H12" s="18"/>
    </row>
    <row r="13" customFormat="false" ht="18" hidden="false" customHeight="true" outlineLevel="0" collapsed="false">
      <c r="A13" s="13" t="n">
        <v>46127</v>
      </c>
      <c r="B13" s="14" t="s">
        <v>78</v>
      </c>
      <c r="C13" s="14" t="s">
        <v>89</v>
      </c>
      <c r="D13" s="15" t="n">
        <v>-14</v>
      </c>
      <c r="E13" s="14" t="s">
        <v>62</v>
      </c>
      <c r="F13" s="16" t="s">
        <v>18</v>
      </c>
      <c r="G13" s="17" t="s">
        <v>88</v>
      </c>
      <c r="H13" s="18"/>
    </row>
    <row r="14" customFormat="false" ht="18" hidden="false" customHeight="true" outlineLevel="0" collapsed="false">
      <c r="A14" s="13" t="n">
        <v>46127</v>
      </c>
      <c r="B14" s="14" t="s">
        <v>78</v>
      </c>
      <c r="C14" s="14" t="s">
        <v>102</v>
      </c>
      <c r="D14" s="15" t="n">
        <v>-120</v>
      </c>
      <c r="E14" s="14" t="s">
        <v>62</v>
      </c>
      <c r="F14" s="16" t="s">
        <v>18</v>
      </c>
      <c r="G14" s="17" t="s">
        <v>103</v>
      </c>
      <c r="H14" s="18"/>
    </row>
    <row r="15" customFormat="false" ht="18" hidden="false" customHeight="true" outlineLevel="0" collapsed="false">
      <c r="A15" s="13" t="n">
        <v>46127</v>
      </c>
      <c r="B15" s="14" t="s">
        <v>78</v>
      </c>
      <c r="C15" s="14" t="s">
        <v>104</v>
      </c>
      <c r="D15" s="15" t="n">
        <v>-20</v>
      </c>
      <c r="E15" s="14" t="s">
        <v>62</v>
      </c>
      <c r="F15" s="16" t="s">
        <v>18</v>
      </c>
      <c r="G15" s="17" t="s">
        <v>103</v>
      </c>
      <c r="H15" s="18"/>
    </row>
    <row r="16" customFormat="false" ht="18" hidden="false" customHeight="true" outlineLevel="0" collapsed="false">
      <c r="A16" s="13" t="n">
        <v>46130</v>
      </c>
      <c r="B16" s="14" t="s">
        <v>75</v>
      </c>
      <c r="C16" s="14" t="s">
        <v>76</v>
      </c>
      <c r="D16" s="15" t="n">
        <v>-170</v>
      </c>
      <c r="E16" s="14" t="s">
        <v>73</v>
      </c>
      <c r="F16" s="16" t="s">
        <v>18</v>
      </c>
      <c r="G16" s="17"/>
      <c r="H16" s="18"/>
    </row>
    <row r="17" customFormat="false" ht="19.5" hidden="false" customHeight="true" outlineLevel="0" collapsed="false">
      <c r="A17" s="13" t="n">
        <v>46137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46138</v>
      </c>
      <c r="B18" s="14" t="s">
        <v>90</v>
      </c>
      <c r="C18" s="14" t="s">
        <v>91</v>
      </c>
      <c r="D18" s="15" t="n">
        <v>-125.56</v>
      </c>
      <c r="E18" s="14" t="s">
        <v>73</v>
      </c>
      <c r="F18" s="16" t="s">
        <v>16</v>
      </c>
      <c r="G18" s="17" t="s">
        <v>92</v>
      </c>
      <c r="H18" s="18"/>
    </row>
    <row r="19" customFormat="false" ht="18" hidden="false" customHeight="true" outlineLevel="0" collapsed="false">
      <c r="A19" s="13" t="n">
        <v>46139</v>
      </c>
      <c r="B19" s="14" t="s">
        <v>93</v>
      </c>
      <c r="C19" s="14" t="s">
        <v>94</v>
      </c>
      <c r="D19" s="15" t="n">
        <v>2380</v>
      </c>
      <c r="E19" s="14" t="s">
        <v>95</v>
      </c>
      <c r="F19" s="16" t="s">
        <v>96</v>
      </c>
      <c r="G19" s="17" t="s">
        <v>97</v>
      </c>
      <c r="H19" s="18"/>
    </row>
    <row r="20" customFormat="false" ht="18" hidden="false" customHeight="true" outlineLevel="0" collapsed="false">
      <c r="A20" s="13" t="n">
        <v>46142</v>
      </c>
      <c r="B20" s="14" t="s">
        <v>99</v>
      </c>
      <c r="C20" s="14" t="s">
        <v>100</v>
      </c>
      <c r="D20" s="15" t="n">
        <f aca="false">-(0)</f>
        <v>-0</v>
      </c>
      <c r="E20" s="14" t="s">
        <v>73</v>
      </c>
      <c r="F20" s="16" t="s">
        <v>16</v>
      </c>
      <c r="G20" s="17" t="s">
        <v>108</v>
      </c>
      <c r="H20" s="18"/>
    </row>
    <row r="21" customFormat="false" ht="18" hidden="false" customHeight="true" outlineLevel="0" collapsed="false">
      <c r="A21" s="13"/>
      <c r="B21" s="14"/>
      <c r="C21" s="14"/>
      <c r="D21" s="15"/>
      <c r="E21" s="14"/>
      <c r="F21" s="16"/>
      <c r="G21" s="17"/>
      <c r="H21" s="18"/>
    </row>
    <row r="22" customFormat="false" ht="16.4" hidden="false" customHeight="true" outlineLevel="0" collapsed="false">
      <c r="A22" s="21"/>
      <c r="B22" s="21"/>
      <c r="C22" s="21"/>
      <c r="D22" s="21"/>
      <c r="E22" s="21"/>
      <c r="F22" s="21"/>
      <c r="G22" s="21"/>
      <c r="H22" s="21"/>
    </row>
    <row r="23" customFormat="false" ht="15" hidden="false" customHeight="false" outlineLevel="0" collapsed="false">
      <c r="A23" s="13"/>
      <c r="B23" s="24"/>
      <c r="C23" s="24"/>
      <c r="D23" s="24"/>
      <c r="E23" s="24"/>
      <c r="F23" s="24"/>
      <c r="G23" s="24"/>
      <c r="H23" s="18"/>
    </row>
    <row r="24" customFormat="false" ht="15" hidden="false" customHeight="false" outlineLevel="0" collapsed="false">
      <c r="A24" s="13"/>
      <c r="B24" s="14"/>
      <c r="C24" s="14"/>
      <c r="D24" s="24"/>
      <c r="E24" s="24"/>
      <c r="F24" s="24"/>
      <c r="G24" s="24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2:H22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5" activeCellId="0" sqref="A25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122.27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'04-Apr'!$K$3+$K$2</f>
        <v>1224.65</v>
      </c>
    </row>
    <row r="4" customFormat="false" ht="18" hidden="false" customHeight="true" outlineLevel="0" collapsed="false">
      <c r="A4" s="13" t="n">
        <v>46143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46143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46143</v>
      </c>
      <c r="B6" s="14" t="s">
        <v>68</v>
      </c>
      <c r="C6" s="14" t="s">
        <v>69</v>
      </c>
      <c r="D6" s="15" t="n">
        <v>-154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46144</v>
      </c>
      <c r="B7" s="14" t="s">
        <v>75</v>
      </c>
      <c r="C7" s="14" t="s">
        <v>76</v>
      </c>
      <c r="D7" s="15" t="n">
        <v>0</v>
      </c>
      <c r="E7" s="14" t="s">
        <v>98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46151</v>
      </c>
      <c r="B8" s="14" t="s">
        <v>75</v>
      </c>
      <c r="C8" s="14" t="s">
        <v>76</v>
      </c>
      <c r="D8" s="15" t="n">
        <v>0</v>
      </c>
      <c r="E8" s="14" t="s">
        <v>77</v>
      </c>
      <c r="F8" s="16" t="s">
        <v>18</v>
      </c>
      <c r="G8" s="17"/>
      <c r="H8" s="18"/>
    </row>
    <row r="9" customFormat="false" ht="18" hidden="false" customHeight="true" outlineLevel="0" collapsed="false">
      <c r="A9" s="13" t="n">
        <v>46151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46152</v>
      </c>
      <c r="B10" s="14" t="s">
        <v>64</v>
      </c>
      <c r="C10" s="14" t="s">
        <v>82</v>
      </c>
      <c r="D10" s="15" t="n">
        <v>-6.99</v>
      </c>
      <c r="E10" s="14" t="s">
        <v>73</v>
      </c>
      <c r="F10" s="16" t="s">
        <v>20</v>
      </c>
      <c r="G10" s="17"/>
      <c r="H10" s="18"/>
    </row>
    <row r="11" customFormat="false" ht="18" hidden="false" customHeight="true" outlineLevel="0" collapsed="false">
      <c r="A11" s="13" t="n">
        <v>46157</v>
      </c>
      <c r="B11" s="14" t="s">
        <v>60</v>
      </c>
      <c r="C11" s="14" t="s">
        <v>83</v>
      </c>
      <c r="D11" s="15" t="n">
        <v>-218</v>
      </c>
      <c r="E11" s="14" t="s">
        <v>62</v>
      </c>
      <c r="F11" s="16" t="s">
        <v>16</v>
      </c>
      <c r="G11" s="17" t="s">
        <v>84</v>
      </c>
      <c r="H11" s="18"/>
    </row>
    <row r="12" customFormat="false" ht="18" hidden="false" customHeight="true" outlineLevel="0" collapsed="false">
      <c r="A12" s="13" t="n">
        <v>46157</v>
      </c>
      <c r="B12" s="14" t="s">
        <v>60</v>
      </c>
      <c r="C12" s="14" t="s">
        <v>85</v>
      </c>
      <c r="D12" s="15" t="n">
        <v>-545</v>
      </c>
      <c r="E12" s="14" t="s">
        <v>62</v>
      </c>
      <c r="F12" s="16" t="s">
        <v>16</v>
      </c>
      <c r="G12" s="17" t="s">
        <v>86</v>
      </c>
      <c r="H12" s="18"/>
    </row>
    <row r="13" customFormat="false" ht="18" hidden="false" customHeight="true" outlineLevel="0" collapsed="false">
      <c r="A13" s="13" t="n">
        <v>46157</v>
      </c>
      <c r="B13" s="14" t="s">
        <v>78</v>
      </c>
      <c r="C13" s="14" t="s">
        <v>87</v>
      </c>
      <c r="D13" s="15" t="n">
        <v>-31</v>
      </c>
      <c r="E13" s="14" t="s">
        <v>62</v>
      </c>
      <c r="F13" s="16" t="s">
        <v>18</v>
      </c>
      <c r="G13" s="17" t="s">
        <v>88</v>
      </c>
      <c r="H13" s="18"/>
    </row>
    <row r="14" customFormat="false" ht="18" hidden="false" customHeight="true" outlineLevel="0" collapsed="false">
      <c r="A14" s="13" t="n">
        <v>46157</v>
      </c>
      <c r="B14" s="14" t="s">
        <v>78</v>
      </c>
      <c r="C14" s="14" t="s">
        <v>89</v>
      </c>
      <c r="D14" s="15" t="n">
        <v>-14</v>
      </c>
      <c r="E14" s="14" t="s">
        <v>62</v>
      </c>
      <c r="F14" s="16" t="s">
        <v>18</v>
      </c>
      <c r="G14" s="17" t="s">
        <v>88</v>
      </c>
      <c r="H14" s="18"/>
    </row>
    <row r="15" customFormat="false" ht="18" hidden="false" customHeight="true" outlineLevel="0" collapsed="false">
      <c r="A15" s="13" t="n">
        <v>46157</v>
      </c>
      <c r="B15" s="14" t="s">
        <v>78</v>
      </c>
      <c r="C15" s="14" t="s">
        <v>102</v>
      </c>
      <c r="D15" s="15" t="n">
        <v>-120</v>
      </c>
      <c r="E15" s="14" t="s">
        <v>62</v>
      </c>
      <c r="F15" s="16" t="s">
        <v>18</v>
      </c>
      <c r="G15" s="17" t="s">
        <v>103</v>
      </c>
      <c r="H15" s="18"/>
    </row>
    <row r="16" customFormat="false" ht="18" hidden="false" customHeight="true" outlineLevel="0" collapsed="false">
      <c r="A16" s="13" t="n">
        <v>46157</v>
      </c>
      <c r="B16" s="14" t="s">
        <v>78</v>
      </c>
      <c r="C16" s="14" t="s">
        <v>104</v>
      </c>
      <c r="D16" s="15" t="n">
        <v>-20</v>
      </c>
      <c r="E16" s="14" t="s">
        <v>62</v>
      </c>
      <c r="F16" s="16" t="s">
        <v>18</v>
      </c>
      <c r="G16" s="17" t="s">
        <v>103</v>
      </c>
      <c r="H16" s="18"/>
    </row>
    <row r="17" customFormat="false" ht="18" hidden="false" customHeight="true" outlineLevel="0" collapsed="false">
      <c r="A17" s="13" t="n">
        <v>46158</v>
      </c>
      <c r="B17" s="14" t="s">
        <v>75</v>
      </c>
      <c r="C17" s="14" t="s">
        <v>76</v>
      </c>
      <c r="D17" s="15" t="n">
        <v>0</v>
      </c>
      <c r="E17" s="14" t="s">
        <v>77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46165</v>
      </c>
      <c r="B18" s="14" t="s">
        <v>75</v>
      </c>
      <c r="C18" s="14" t="s">
        <v>76</v>
      </c>
      <c r="D18" s="15" t="n">
        <v>0</v>
      </c>
      <c r="E18" s="14" t="s">
        <v>77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46168</v>
      </c>
      <c r="B19" s="14" t="s">
        <v>90</v>
      </c>
      <c r="C19" s="14" t="s">
        <v>91</v>
      </c>
      <c r="D19" s="15" t="n">
        <v>-125.56</v>
      </c>
      <c r="E19" s="14" t="s">
        <v>62</v>
      </c>
      <c r="F19" s="16" t="s">
        <v>16</v>
      </c>
      <c r="G19" s="17" t="s">
        <v>92</v>
      </c>
      <c r="H19" s="18"/>
    </row>
    <row r="20" customFormat="false" ht="18" hidden="false" customHeight="true" outlineLevel="0" collapsed="false">
      <c r="A20" s="13" t="n">
        <v>46169</v>
      </c>
      <c r="B20" s="14" t="s">
        <v>93</v>
      </c>
      <c r="C20" s="14" t="s">
        <v>94</v>
      </c>
      <c r="D20" s="15" t="n">
        <v>2380</v>
      </c>
      <c r="E20" s="14" t="s">
        <v>95</v>
      </c>
      <c r="F20" s="16" t="s">
        <v>96</v>
      </c>
      <c r="G20" s="17" t="s">
        <v>97</v>
      </c>
      <c r="H20" s="18"/>
    </row>
    <row r="21" customFormat="false" ht="18" hidden="false" customHeight="true" outlineLevel="0" collapsed="false">
      <c r="A21" s="13" t="n">
        <v>46172</v>
      </c>
      <c r="B21" s="14" t="s">
        <v>75</v>
      </c>
      <c r="C21" s="14" t="s">
        <v>76</v>
      </c>
      <c r="D21" s="15" t="n">
        <v>0</v>
      </c>
      <c r="E21" s="14" t="s">
        <v>98</v>
      </c>
      <c r="F21" s="16" t="s">
        <v>18</v>
      </c>
      <c r="G21" s="17"/>
      <c r="H21" s="18"/>
    </row>
    <row r="22" customFormat="false" ht="18" hidden="false" customHeight="true" outlineLevel="0" collapsed="false">
      <c r="A22" s="13" t="n">
        <v>46173</v>
      </c>
      <c r="B22" s="14" t="s">
        <v>105</v>
      </c>
      <c r="C22" s="14" t="s">
        <v>106</v>
      </c>
      <c r="D22" s="15" t="n">
        <v>-236.19</v>
      </c>
      <c r="E22" s="14" t="s">
        <v>62</v>
      </c>
      <c r="F22" s="16" t="s">
        <v>16</v>
      </c>
      <c r="G22" s="17" t="s">
        <v>107</v>
      </c>
      <c r="H22" s="18"/>
    </row>
    <row r="23" customFormat="false" ht="16.4" hidden="false" customHeight="false" outlineLevel="0" collapsed="false">
      <c r="A23" s="13" t="n">
        <v>46173</v>
      </c>
      <c r="B23" s="14" t="s">
        <v>99</v>
      </c>
      <c r="C23" s="14" t="s">
        <v>100</v>
      </c>
      <c r="D23" s="15" t="n">
        <f aca="false">-(0)</f>
        <v>-0</v>
      </c>
      <c r="E23" s="14" t="s">
        <v>73</v>
      </c>
      <c r="F23" s="16" t="s">
        <v>16</v>
      </c>
      <c r="G23" s="17" t="s">
        <v>108</v>
      </c>
      <c r="H23" s="18"/>
    </row>
    <row r="24" customFormat="false" ht="15" hidden="false" customHeight="false" outlineLevel="0" collapsed="false">
      <c r="A24" s="13"/>
      <c r="B24" s="19"/>
      <c r="C24" s="19"/>
      <c r="D24" s="19"/>
      <c r="E24" s="19"/>
      <c r="F24" s="19"/>
      <c r="G24" s="20"/>
      <c r="H24" s="18"/>
    </row>
    <row r="25" customFormat="false" ht="16.4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5:H25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4:F8 F11:F142" type="list">
      <formula1>"A,B,C,—"</formula1>
      <formula2>0</formula2>
    </dataValidation>
    <dataValidation allowBlank="true" errorStyle="stop" operator="between" showDropDown="false" showErrorMessage="false" showInputMessage="false" sqref="E4:E8 E11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8 H11:H142" type="list">
      <formula1>"Sì,No"</formula1>
      <formula2>0</formula2>
    </dataValidation>
    <dataValidation allowBlank="true" errorStyle="stop" operator="between" showDropDown="false" showErrorMessage="false" showInputMessage="false" sqref="F9:F10" type="list">
      <formula1>"A,B,C,—"</formula1>
      <formula2>0</formula2>
    </dataValidation>
    <dataValidation allowBlank="true" errorStyle="stop" operator="between" showDropDown="false" showErrorMessage="false" showInputMessage="false" sqref="E9:E10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9:H10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3" activeCellId="0" sqref="A2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112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2382.46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'05-May'!$K$3+$K$2</f>
        <v>3607.11</v>
      </c>
    </row>
    <row r="4" customFormat="false" ht="18" hidden="false" customHeight="true" outlineLevel="0" collapsed="false">
      <c r="A4" s="13" t="n">
        <v>46174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46174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46179</v>
      </c>
      <c r="B6" s="14" t="s">
        <v>75</v>
      </c>
      <c r="C6" s="14" t="s">
        <v>76</v>
      </c>
      <c r="D6" s="15" t="n">
        <v>-170</v>
      </c>
      <c r="E6" s="14" t="s">
        <v>73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46182</v>
      </c>
      <c r="B7" s="14" t="s">
        <v>64</v>
      </c>
      <c r="C7" s="14" t="s">
        <v>81</v>
      </c>
      <c r="D7" s="15" t="n">
        <v>-6.99</v>
      </c>
      <c r="E7" s="14" t="s">
        <v>73</v>
      </c>
      <c r="F7" s="16" t="s">
        <v>20</v>
      </c>
      <c r="G7" s="17"/>
      <c r="H7" s="18"/>
    </row>
    <row r="8" customFormat="false" ht="18" hidden="false" customHeight="true" outlineLevel="0" collapsed="false">
      <c r="A8" s="13" t="n">
        <v>46183</v>
      </c>
      <c r="B8" s="14" t="s">
        <v>64</v>
      </c>
      <c r="C8" s="14" t="s">
        <v>82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46186</v>
      </c>
      <c r="B9" s="14" t="s">
        <v>75</v>
      </c>
      <c r="C9" s="14" t="s">
        <v>76</v>
      </c>
      <c r="D9" s="15" t="n">
        <v>-170</v>
      </c>
      <c r="E9" s="14" t="s">
        <v>73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46188</v>
      </c>
      <c r="B10" s="14" t="s">
        <v>60</v>
      </c>
      <c r="C10" s="14" t="s">
        <v>83</v>
      </c>
      <c r="D10" s="15" t="n">
        <v>-218</v>
      </c>
      <c r="E10" s="14" t="s">
        <v>62</v>
      </c>
      <c r="F10" s="16" t="s">
        <v>16</v>
      </c>
      <c r="G10" s="17" t="s">
        <v>84</v>
      </c>
      <c r="H10" s="18"/>
    </row>
    <row r="11" customFormat="false" ht="18" hidden="false" customHeight="true" outlineLevel="0" collapsed="false">
      <c r="A11" s="13" t="n">
        <v>46188</v>
      </c>
      <c r="B11" s="14" t="s">
        <v>60</v>
      </c>
      <c r="C11" s="14" t="s">
        <v>85</v>
      </c>
      <c r="D11" s="15" t="n">
        <v>-545</v>
      </c>
      <c r="E11" s="14" t="s">
        <v>62</v>
      </c>
      <c r="F11" s="16" t="s">
        <v>16</v>
      </c>
      <c r="G11" s="17" t="s">
        <v>86</v>
      </c>
      <c r="H11" s="18"/>
    </row>
    <row r="12" customFormat="false" ht="18" hidden="false" customHeight="true" outlineLevel="0" collapsed="false">
      <c r="A12" s="13" t="n">
        <v>46188</v>
      </c>
      <c r="B12" s="14" t="s">
        <v>78</v>
      </c>
      <c r="C12" s="14" t="s">
        <v>87</v>
      </c>
      <c r="D12" s="15" t="n">
        <v>-31</v>
      </c>
      <c r="E12" s="14" t="s">
        <v>62</v>
      </c>
      <c r="F12" s="16" t="s">
        <v>18</v>
      </c>
      <c r="G12" s="17" t="s">
        <v>88</v>
      </c>
      <c r="H12" s="18"/>
    </row>
    <row r="13" customFormat="false" ht="18" hidden="false" customHeight="true" outlineLevel="0" collapsed="false">
      <c r="A13" s="13" t="n">
        <v>46188</v>
      </c>
      <c r="B13" s="14" t="s">
        <v>78</v>
      </c>
      <c r="C13" s="14" t="s">
        <v>89</v>
      </c>
      <c r="D13" s="15" t="n">
        <v>-14</v>
      </c>
      <c r="E13" s="14" t="s">
        <v>62</v>
      </c>
      <c r="F13" s="16" t="s">
        <v>18</v>
      </c>
      <c r="G13" s="17" t="s">
        <v>88</v>
      </c>
      <c r="H13" s="18"/>
    </row>
    <row r="14" customFormat="false" ht="18" hidden="false" customHeight="true" outlineLevel="0" collapsed="false">
      <c r="A14" s="13" t="n">
        <v>46188</v>
      </c>
      <c r="B14" s="14" t="s">
        <v>78</v>
      </c>
      <c r="C14" s="14" t="s">
        <v>102</v>
      </c>
      <c r="D14" s="15" t="n">
        <v>-120</v>
      </c>
      <c r="E14" s="14" t="s">
        <v>62</v>
      </c>
      <c r="F14" s="16" t="s">
        <v>18</v>
      </c>
      <c r="G14" s="17" t="s">
        <v>103</v>
      </c>
      <c r="H14" s="18"/>
    </row>
    <row r="15" customFormat="false" ht="18" hidden="false" customHeight="true" outlineLevel="0" collapsed="false">
      <c r="A15" s="13" t="n">
        <v>46188</v>
      </c>
      <c r="B15" s="14" t="s">
        <v>78</v>
      </c>
      <c r="C15" s="14" t="s">
        <v>104</v>
      </c>
      <c r="D15" s="15" t="n">
        <v>-20</v>
      </c>
      <c r="E15" s="14" t="s">
        <v>62</v>
      </c>
      <c r="F15" s="16" t="s">
        <v>18</v>
      </c>
      <c r="G15" s="17" t="s">
        <v>103</v>
      </c>
      <c r="H15" s="18"/>
    </row>
    <row r="16" customFormat="false" ht="18" hidden="false" customHeight="true" outlineLevel="0" collapsed="false">
      <c r="A16" s="13" t="n">
        <v>46193</v>
      </c>
      <c r="B16" s="14" t="s">
        <v>75</v>
      </c>
      <c r="C16" s="14" t="s">
        <v>76</v>
      </c>
      <c r="D16" s="15" t="n">
        <v>-170</v>
      </c>
      <c r="E16" s="14" t="s">
        <v>73</v>
      </c>
      <c r="F16" s="16" t="s">
        <v>18</v>
      </c>
      <c r="G16" s="17"/>
      <c r="H16" s="18"/>
    </row>
    <row r="17" customFormat="false" ht="19.5" hidden="false" customHeight="true" outlineLevel="0" collapsed="false">
      <c r="A17" s="13" t="n">
        <v>46199</v>
      </c>
      <c r="B17" s="14" t="s">
        <v>90</v>
      </c>
      <c r="C17" s="14" t="s">
        <v>91</v>
      </c>
      <c r="D17" s="15" t="n">
        <v>-125.56</v>
      </c>
      <c r="E17" s="14" t="s">
        <v>73</v>
      </c>
      <c r="F17" s="16" t="s">
        <v>16</v>
      </c>
      <c r="G17" s="17" t="s">
        <v>92</v>
      </c>
      <c r="H17" s="18"/>
    </row>
    <row r="18" customFormat="false" ht="18" hidden="false" customHeight="true" outlineLevel="0" collapsed="false">
      <c r="A18" s="13" t="n">
        <v>46200</v>
      </c>
      <c r="B18" s="14" t="s">
        <v>93</v>
      </c>
      <c r="C18" s="14" t="s">
        <v>94</v>
      </c>
      <c r="D18" s="15" t="n">
        <v>2380</v>
      </c>
      <c r="E18" s="14" t="s">
        <v>95</v>
      </c>
      <c r="F18" s="16" t="s">
        <v>96</v>
      </c>
      <c r="G18" s="17" t="s">
        <v>97</v>
      </c>
      <c r="H18" s="18"/>
    </row>
    <row r="19" customFormat="false" ht="18" hidden="false" customHeight="true" outlineLevel="0" collapsed="false">
      <c r="A19" s="13" t="n">
        <v>46200</v>
      </c>
      <c r="B19" s="14" t="s">
        <v>93</v>
      </c>
      <c r="C19" s="14" t="s">
        <v>113</v>
      </c>
      <c r="D19" s="15" t="n">
        <f aca="false">SUMIFS($D:$D,$A:$A,DATE(2026,6,27),$C:$C,"Stipendio netto")</f>
        <v>2380</v>
      </c>
      <c r="E19" s="14" t="s">
        <v>95</v>
      </c>
      <c r="F19" s="16" t="s">
        <v>96</v>
      </c>
      <c r="G19" s="17" t="s">
        <v>97</v>
      </c>
      <c r="H19" s="18"/>
    </row>
    <row r="20" customFormat="false" ht="18" hidden="false" customHeight="true" outlineLevel="0" collapsed="false">
      <c r="A20" s="13" t="n">
        <v>46200</v>
      </c>
      <c r="B20" s="14" t="s">
        <v>75</v>
      </c>
      <c r="C20" s="14" t="s">
        <v>76</v>
      </c>
      <c r="D20" s="15" t="n">
        <v>0</v>
      </c>
      <c r="E20" s="14" t="s">
        <v>98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46203</v>
      </c>
      <c r="B21" s="14" t="s">
        <v>99</v>
      </c>
      <c r="C21" s="14" t="s">
        <v>100</v>
      </c>
      <c r="D21" s="15" t="n">
        <f aca="false">-(0)</f>
        <v>-0</v>
      </c>
      <c r="E21" s="14" t="s">
        <v>73</v>
      </c>
      <c r="F21" s="16" t="s">
        <v>16</v>
      </c>
      <c r="G21" s="17" t="s">
        <v>108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4" activeCellId="0" sqref="A2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114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-233.73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'07-Jul'!$K$3+$K$2</f>
        <v>3051.84</v>
      </c>
    </row>
    <row r="4" customFormat="false" ht="18" hidden="false" customHeight="true" outlineLevel="0" collapsed="false">
      <c r="A4" s="13" t="n">
        <v>46235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46235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46235</v>
      </c>
      <c r="B6" s="14" t="s">
        <v>75</v>
      </c>
      <c r="C6" s="14" t="s">
        <v>76</v>
      </c>
      <c r="D6" s="15" t="n">
        <v>0</v>
      </c>
      <c r="E6" s="14" t="s">
        <v>98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46242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46243</v>
      </c>
      <c r="B8" s="14" t="s">
        <v>64</v>
      </c>
      <c r="C8" s="14" t="s">
        <v>81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46244</v>
      </c>
      <c r="B9" s="14" t="s">
        <v>64</v>
      </c>
      <c r="C9" s="14" t="s">
        <v>82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46249</v>
      </c>
      <c r="B10" s="14" t="s">
        <v>60</v>
      </c>
      <c r="C10" s="14" t="s">
        <v>83</v>
      </c>
      <c r="D10" s="15" t="n">
        <v>-218</v>
      </c>
      <c r="E10" s="14" t="s">
        <v>62</v>
      </c>
      <c r="F10" s="16" t="s">
        <v>16</v>
      </c>
      <c r="G10" s="17" t="s">
        <v>84</v>
      </c>
      <c r="H10" s="18"/>
    </row>
    <row r="11" customFormat="false" ht="18" hidden="false" customHeight="true" outlineLevel="0" collapsed="false">
      <c r="A11" s="13" t="n">
        <v>46249</v>
      </c>
      <c r="B11" s="14" t="s">
        <v>60</v>
      </c>
      <c r="C11" s="14" t="s">
        <v>85</v>
      </c>
      <c r="D11" s="15" t="n">
        <v>-545</v>
      </c>
      <c r="E11" s="14" t="s">
        <v>62</v>
      </c>
      <c r="F11" s="16" t="s">
        <v>16</v>
      </c>
      <c r="G11" s="17" t="s">
        <v>86</v>
      </c>
      <c r="H11" s="18"/>
    </row>
    <row r="12" customFormat="false" ht="18" hidden="false" customHeight="true" outlineLevel="0" collapsed="false">
      <c r="A12" s="13" t="n">
        <v>46249</v>
      </c>
      <c r="B12" s="14" t="s">
        <v>78</v>
      </c>
      <c r="C12" s="14" t="s">
        <v>87</v>
      </c>
      <c r="D12" s="15" t="n">
        <v>-31</v>
      </c>
      <c r="E12" s="14" t="s">
        <v>62</v>
      </c>
      <c r="F12" s="16" t="s">
        <v>18</v>
      </c>
      <c r="G12" s="17" t="s">
        <v>88</v>
      </c>
      <c r="H12" s="18"/>
    </row>
    <row r="13" customFormat="false" ht="18" hidden="false" customHeight="true" outlineLevel="0" collapsed="false">
      <c r="A13" s="13" t="n">
        <v>46249</v>
      </c>
      <c r="B13" s="14" t="s">
        <v>78</v>
      </c>
      <c r="C13" s="14" t="s">
        <v>89</v>
      </c>
      <c r="D13" s="15" t="n">
        <v>-14</v>
      </c>
      <c r="E13" s="14" t="s">
        <v>62</v>
      </c>
      <c r="F13" s="16" t="s">
        <v>18</v>
      </c>
      <c r="G13" s="17" t="s">
        <v>88</v>
      </c>
      <c r="H13" s="18"/>
    </row>
    <row r="14" customFormat="false" ht="18" hidden="false" customHeight="true" outlineLevel="0" collapsed="false">
      <c r="A14" s="13" t="n">
        <v>46249</v>
      </c>
      <c r="B14" s="14" t="s">
        <v>78</v>
      </c>
      <c r="C14" s="14" t="s">
        <v>102</v>
      </c>
      <c r="D14" s="15" t="n">
        <v>-120</v>
      </c>
      <c r="E14" s="14" t="s">
        <v>62</v>
      </c>
      <c r="F14" s="16" t="s">
        <v>18</v>
      </c>
      <c r="G14" s="17" t="s">
        <v>103</v>
      </c>
      <c r="H14" s="18"/>
    </row>
    <row r="15" customFormat="false" ht="18" hidden="false" customHeight="true" outlineLevel="0" collapsed="false">
      <c r="A15" s="13" t="n">
        <v>46249</v>
      </c>
      <c r="B15" s="14" t="s">
        <v>78</v>
      </c>
      <c r="C15" s="14" t="s">
        <v>104</v>
      </c>
      <c r="D15" s="15" t="n">
        <v>-20</v>
      </c>
      <c r="E15" s="14" t="s">
        <v>62</v>
      </c>
      <c r="F15" s="16" t="s">
        <v>18</v>
      </c>
      <c r="G15" s="17" t="s">
        <v>103</v>
      </c>
      <c r="H15" s="18"/>
    </row>
    <row r="16" customFormat="false" ht="18" hidden="false" customHeight="true" outlineLevel="0" collapsed="false">
      <c r="A16" s="13" t="n">
        <v>46249</v>
      </c>
      <c r="B16" s="14" t="s">
        <v>75</v>
      </c>
      <c r="C16" s="14" t="s">
        <v>76</v>
      </c>
      <c r="D16" s="15" t="n">
        <v>-170</v>
      </c>
      <c r="E16" s="14" t="s">
        <v>73</v>
      </c>
      <c r="F16" s="16" t="s">
        <v>18</v>
      </c>
      <c r="G16" s="17"/>
      <c r="H16" s="18"/>
    </row>
    <row r="17" customFormat="false" ht="18" hidden="false" customHeight="true" outlineLevel="0" collapsed="false">
      <c r="A17" s="13" t="n">
        <v>46256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46260</v>
      </c>
      <c r="B18" s="14" t="s">
        <v>90</v>
      </c>
      <c r="C18" s="14" t="s">
        <v>91</v>
      </c>
      <c r="D18" s="15" t="n">
        <v>-125.56</v>
      </c>
      <c r="E18" s="14"/>
      <c r="F18" s="16" t="s">
        <v>16</v>
      </c>
      <c r="G18" s="17" t="s">
        <v>92</v>
      </c>
      <c r="H18" s="18"/>
    </row>
    <row r="19" customFormat="false" ht="18" hidden="false" customHeight="true" outlineLevel="0" collapsed="false">
      <c r="A19" s="13" t="n">
        <v>46261</v>
      </c>
      <c r="B19" s="14" t="s">
        <v>93</v>
      </c>
      <c r="C19" s="14" t="s">
        <v>94</v>
      </c>
      <c r="D19" s="15" t="n">
        <v>2380</v>
      </c>
      <c r="E19" s="14" t="s">
        <v>95</v>
      </c>
      <c r="F19" s="16" t="s">
        <v>16</v>
      </c>
      <c r="G19" s="17" t="s">
        <v>97</v>
      </c>
      <c r="H19" s="18"/>
    </row>
    <row r="20" customFormat="false" ht="18" hidden="false" customHeight="true" outlineLevel="0" collapsed="false">
      <c r="A20" s="13" t="n">
        <v>46263</v>
      </c>
      <c r="B20" s="14" t="s">
        <v>75</v>
      </c>
      <c r="C20" s="14" t="s">
        <v>76</v>
      </c>
      <c r="D20" s="15" t="n">
        <v>0</v>
      </c>
      <c r="E20" s="14" t="s">
        <v>98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46265</v>
      </c>
      <c r="B21" s="14" t="s">
        <v>105</v>
      </c>
      <c r="C21" s="14" t="s">
        <v>106</v>
      </c>
      <c r="D21" s="15" t="n">
        <v>-236.19</v>
      </c>
      <c r="E21" s="14" t="s">
        <v>62</v>
      </c>
      <c r="F21" s="16" t="s">
        <v>16</v>
      </c>
      <c r="G21" s="17" t="s">
        <v>107</v>
      </c>
      <c r="H21" s="18"/>
    </row>
    <row r="22" customFormat="false" ht="18" hidden="false" customHeight="true" outlineLevel="0" collapsed="false">
      <c r="A22" s="13" t="n">
        <v>46265</v>
      </c>
      <c r="B22" s="14" t="s">
        <v>99</v>
      </c>
      <c r="C22" s="14" t="s">
        <v>100</v>
      </c>
      <c r="D22" s="15" t="n">
        <f aca="false">-(0)</f>
        <v>-0</v>
      </c>
      <c r="E22" s="14" t="s">
        <v>73</v>
      </c>
      <c r="F22" s="16" t="s">
        <v>16</v>
      </c>
      <c r="G22" s="17" t="s">
        <v>108</v>
      </c>
      <c r="H22" s="18"/>
    </row>
    <row r="23" customFormat="false" ht="15" hidden="false" customHeight="false" outlineLevel="0" collapsed="false">
      <c r="A23" s="13"/>
      <c r="B23" s="14"/>
      <c r="C23" s="14"/>
      <c r="D23" s="15"/>
      <c r="E23" s="14"/>
      <c r="F23" s="16"/>
      <c r="G23" s="17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24"/>
      <c r="C25" s="24"/>
      <c r="D25" s="24"/>
      <c r="E25" s="24"/>
      <c r="F25" s="24"/>
      <c r="G25" s="24"/>
      <c r="H25" s="18"/>
    </row>
    <row r="26" customFormat="false" ht="15" hidden="false" customHeight="false" outlineLevel="0" collapsed="false">
      <c r="A26" s="13"/>
      <c r="B26" s="14"/>
      <c r="C26" s="14"/>
      <c r="D26" s="24"/>
      <c r="E26" s="24"/>
      <c r="F26" s="24"/>
      <c r="G26" s="24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4:H24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4" activeCellId="0" sqref="A2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115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-321.54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'06-Jun'!$K$3+$K$2</f>
        <v>3285.57</v>
      </c>
    </row>
    <row r="4" customFormat="false" ht="18" hidden="false" customHeight="true" outlineLevel="0" collapsed="false">
      <c r="A4" s="13" t="n">
        <v>46204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46204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46204</v>
      </c>
      <c r="B6" s="14" t="s">
        <v>68</v>
      </c>
      <c r="C6" s="14" t="s">
        <v>69</v>
      </c>
      <c r="D6" s="15" t="n">
        <v>-154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46207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46212</v>
      </c>
      <c r="B8" s="14" t="s">
        <v>64</v>
      </c>
      <c r="C8" s="14" t="s">
        <v>81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46213</v>
      </c>
      <c r="B9" s="14" t="s">
        <v>64</v>
      </c>
      <c r="C9" s="14" t="s">
        <v>82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46214</v>
      </c>
      <c r="B10" s="14" t="s">
        <v>75</v>
      </c>
      <c r="C10" s="14" t="s">
        <v>76</v>
      </c>
      <c r="D10" s="15" t="n">
        <v>-170</v>
      </c>
      <c r="E10" s="14" t="s">
        <v>73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46218</v>
      </c>
      <c r="B11" s="14" t="s">
        <v>60</v>
      </c>
      <c r="C11" s="14" t="s">
        <v>83</v>
      </c>
      <c r="D11" s="15" t="n">
        <v>-218</v>
      </c>
      <c r="E11" s="14" t="s">
        <v>62</v>
      </c>
      <c r="F11" s="16" t="s">
        <v>16</v>
      </c>
      <c r="G11" s="17" t="s">
        <v>84</v>
      </c>
      <c r="H11" s="18"/>
    </row>
    <row r="12" customFormat="false" ht="18" hidden="false" customHeight="true" outlineLevel="0" collapsed="false">
      <c r="A12" s="13" t="n">
        <v>46218</v>
      </c>
      <c r="B12" s="14" t="s">
        <v>60</v>
      </c>
      <c r="C12" s="14" t="s">
        <v>85</v>
      </c>
      <c r="D12" s="15" t="n">
        <v>-545</v>
      </c>
      <c r="E12" s="14" t="s">
        <v>62</v>
      </c>
      <c r="F12" s="16" t="s">
        <v>16</v>
      </c>
      <c r="G12" s="17" t="s">
        <v>86</v>
      </c>
      <c r="H12" s="18"/>
    </row>
    <row r="13" customFormat="false" ht="18" hidden="false" customHeight="true" outlineLevel="0" collapsed="false">
      <c r="A13" s="13" t="n">
        <v>46218</v>
      </c>
      <c r="B13" s="14" t="s">
        <v>78</v>
      </c>
      <c r="C13" s="14" t="s">
        <v>87</v>
      </c>
      <c r="D13" s="15" t="n">
        <v>-31</v>
      </c>
      <c r="E13" s="14" t="s">
        <v>62</v>
      </c>
      <c r="F13" s="16" t="s">
        <v>18</v>
      </c>
      <c r="G13" s="17" t="s">
        <v>88</v>
      </c>
      <c r="H13" s="18"/>
    </row>
    <row r="14" customFormat="false" ht="18" hidden="false" customHeight="true" outlineLevel="0" collapsed="false">
      <c r="A14" s="13" t="n">
        <v>46218</v>
      </c>
      <c r="B14" s="14" t="s">
        <v>78</v>
      </c>
      <c r="C14" s="14" t="s">
        <v>89</v>
      </c>
      <c r="D14" s="15" t="n">
        <v>-14</v>
      </c>
      <c r="E14" s="14" t="s">
        <v>62</v>
      </c>
      <c r="F14" s="16" t="s">
        <v>18</v>
      </c>
      <c r="G14" s="17" t="s">
        <v>88</v>
      </c>
      <c r="H14" s="18"/>
    </row>
    <row r="15" customFormat="false" ht="18" hidden="false" customHeight="true" outlineLevel="0" collapsed="false">
      <c r="A15" s="13" t="n">
        <v>46218</v>
      </c>
      <c r="B15" s="14" t="s">
        <v>78</v>
      </c>
      <c r="C15" s="14" t="s">
        <v>102</v>
      </c>
      <c r="D15" s="15" t="n">
        <v>-120</v>
      </c>
      <c r="E15" s="14" t="s">
        <v>62</v>
      </c>
      <c r="F15" s="16" t="s">
        <v>18</v>
      </c>
      <c r="G15" s="17" t="s">
        <v>103</v>
      </c>
      <c r="H15" s="18"/>
    </row>
    <row r="16" customFormat="false" ht="18" hidden="false" customHeight="true" outlineLevel="0" collapsed="false">
      <c r="A16" s="13" t="n">
        <v>46218</v>
      </c>
      <c r="B16" s="14" t="s">
        <v>78</v>
      </c>
      <c r="C16" s="14" t="s">
        <v>104</v>
      </c>
      <c r="D16" s="15" t="n">
        <v>-20</v>
      </c>
      <c r="E16" s="14" t="s">
        <v>62</v>
      </c>
      <c r="F16" s="16" t="s">
        <v>18</v>
      </c>
      <c r="G16" s="17" t="s">
        <v>103</v>
      </c>
      <c r="H16" s="18"/>
    </row>
    <row r="17" customFormat="false" ht="19.5" hidden="false" customHeight="true" outlineLevel="0" collapsed="false">
      <c r="A17" s="13" t="n">
        <v>46221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46228</v>
      </c>
      <c r="B18" s="14" t="s">
        <v>75</v>
      </c>
      <c r="C18" s="14" t="s">
        <v>76</v>
      </c>
      <c r="D18" s="15" t="n">
        <v>-170</v>
      </c>
      <c r="E18" s="14" t="s">
        <v>73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46229</v>
      </c>
      <c r="B19" s="14" t="s">
        <v>90</v>
      </c>
      <c r="C19" s="14" t="s">
        <v>91</v>
      </c>
      <c r="D19" s="15" t="n">
        <v>-125.56</v>
      </c>
      <c r="E19" s="14" t="s">
        <v>73</v>
      </c>
      <c r="F19" s="16" t="s">
        <v>16</v>
      </c>
      <c r="G19" s="17" t="s">
        <v>92</v>
      </c>
      <c r="H19" s="18"/>
    </row>
    <row r="20" customFormat="false" ht="18" hidden="false" customHeight="true" outlineLevel="0" collapsed="false">
      <c r="A20" s="13" t="n">
        <v>46230</v>
      </c>
      <c r="B20" s="14" t="s">
        <v>93</v>
      </c>
      <c r="C20" s="14" t="s">
        <v>94</v>
      </c>
      <c r="D20" s="15" t="n">
        <v>2380</v>
      </c>
      <c r="E20" s="14" t="s">
        <v>95</v>
      </c>
      <c r="F20" s="16" t="s">
        <v>96</v>
      </c>
      <c r="G20" s="17" t="s">
        <v>97</v>
      </c>
      <c r="H20" s="18"/>
    </row>
    <row r="21" customFormat="false" ht="18" hidden="false" customHeight="true" outlineLevel="0" collapsed="false">
      <c r="A21" s="13" t="n">
        <v>46234</v>
      </c>
      <c r="B21" s="14" t="s">
        <v>99</v>
      </c>
      <c r="C21" s="14" t="s">
        <v>100</v>
      </c>
      <c r="D21" s="15" t="n">
        <f aca="false">-(0)</f>
        <v>-0</v>
      </c>
      <c r="E21" s="14" t="s">
        <v>73</v>
      </c>
      <c r="F21" s="16" t="s">
        <v>16</v>
      </c>
      <c r="G21" s="17" t="s">
        <v>108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 t="s">
        <v>116</v>
      </c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3" activeCellId="0" sqref="A2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117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-321.54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'08-Aug'!$K$3+$K$2</f>
        <v>2730.3</v>
      </c>
    </row>
    <row r="4" customFormat="false" ht="18" hidden="false" customHeight="true" outlineLevel="0" collapsed="false">
      <c r="A4" s="13" t="n">
        <v>46266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46266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20</v>
      </c>
      <c r="G5" s="17" t="s">
        <v>66</v>
      </c>
      <c r="H5" s="18"/>
    </row>
    <row r="6" customFormat="false" ht="18" hidden="false" customHeight="true" outlineLevel="0" collapsed="false">
      <c r="A6" s="13" t="n">
        <v>46266</v>
      </c>
      <c r="B6" s="14" t="s">
        <v>68</v>
      </c>
      <c r="C6" s="14" t="s">
        <v>69</v>
      </c>
      <c r="D6" s="15" t="n">
        <v>-154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46270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46274</v>
      </c>
      <c r="B8" s="14" t="s">
        <v>64</v>
      </c>
      <c r="C8" s="14" t="s">
        <v>81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46275</v>
      </c>
      <c r="B9" s="14" t="s">
        <v>64</v>
      </c>
      <c r="C9" s="14" t="s">
        <v>82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46277</v>
      </c>
      <c r="B10" s="14" t="s">
        <v>75</v>
      </c>
      <c r="C10" s="14" t="s">
        <v>76</v>
      </c>
      <c r="D10" s="15" t="n">
        <v>-170</v>
      </c>
      <c r="E10" s="14" t="s">
        <v>73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46280</v>
      </c>
      <c r="B11" s="14" t="s">
        <v>60</v>
      </c>
      <c r="C11" s="14" t="s">
        <v>83</v>
      </c>
      <c r="D11" s="15" t="n">
        <v>-218</v>
      </c>
      <c r="E11" s="14" t="s">
        <v>62</v>
      </c>
      <c r="F11" s="16" t="s">
        <v>16</v>
      </c>
      <c r="G11" s="17" t="s">
        <v>84</v>
      </c>
      <c r="H11" s="18"/>
    </row>
    <row r="12" customFormat="false" ht="18" hidden="false" customHeight="true" outlineLevel="0" collapsed="false">
      <c r="A12" s="13" t="n">
        <v>46280</v>
      </c>
      <c r="B12" s="14" t="s">
        <v>60</v>
      </c>
      <c r="C12" s="14" t="s">
        <v>85</v>
      </c>
      <c r="D12" s="15" t="n">
        <v>-545</v>
      </c>
      <c r="E12" s="14" t="s">
        <v>62</v>
      </c>
      <c r="F12" s="16" t="s">
        <v>16</v>
      </c>
      <c r="G12" s="17" t="s">
        <v>86</v>
      </c>
      <c r="H12" s="18"/>
    </row>
    <row r="13" customFormat="false" ht="18" hidden="false" customHeight="true" outlineLevel="0" collapsed="false">
      <c r="A13" s="13" t="n">
        <v>46280</v>
      </c>
      <c r="B13" s="14" t="s">
        <v>78</v>
      </c>
      <c r="C13" s="14" t="s">
        <v>87</v>
      </c>
      <c r="D13" s="15" t="n">
        <v>-31</v>
      </c>
      <c r="E13" s="14" t="s">
        <v>62</v>
      </c>
      <c r="F13" s="16" t="s">
        <v>18</v>
      </c>
      <c r="G13" s="17" t="s">
        <v>88</v>
      </c>
      <c r="H13" s="18"/>
    </row>
    <row r="14" customFormat="false" ht="18" hidden="false" customHeight="true" outlineLevel="0" collapsed="false">
      <c r="A14" s="13" t="n">
        <v>46280</v>
      </c>
      <c r="B14" s="14" t="s">
        <v>78</v>
      </c>
      <c r="C14" s="14" t="s">
        <v>89</v>
      </c>
      <c r="D14" s="15" t="n">
        <v>-14</v>
      </c>
      <c r="E14" s="14" t="s">
        <v>62</v>
      </c>
      <c r="F14" s="16" t="s">
        <v>18</v>
      </c>
      <c r="G14" s="17" t="s">
        <v>88</v>
      </c>
      <c r="H14" s="18"/>
    </row>
    <row r="15" customFormat="false" ht="18" hidden="false" customHeight="true" outlineLevel="0" collapsed="false">
      <c r="A15" s="13" t="n">
        <v>46280</v>
      </c>
      <c r="B15" s="14" t="s">
        <v>78</v>
      </c>
      <c r="C15" s="14" t="s">
        <v>102</v>
      </c>
      <c r="D15" s="15" t="n">
        <v>-120</v>
      </c>
      <c r="E15" s="14" t="s">
        <v>62</v>
      </c>
      <c r="F15" s="16" t="s">
        <v>18</v>
      </c>
      <c r="G15" s="17" t="s">
        <v>103</v>
      </c>
      <c r="H15" s="18"/>
    </row>
    <row r="16" customFormat="false" ht="18" hidden="false" customHeight="true" outlineLevel="0" collapsed="false">
      <c r="A16" s="13" t="n">
        <v>46280</v>
      </c>
      <c r="B16" s="14" t="s">
        <v>78</v>
      </c>
      <c r="C16" s="14" t="s">
        <v>104</v>
      </c>
      <c r="D16" s="15" t="n">
        <v>-20</v>
      </c>
      <c r="E16" s="14" t="s">
        <v>62</v>
      </c>
      <c r="F16" s="16" t="s">
        <v>18</v>
      </c>
      <c r="G16" s="17" t="s">
        <v>103</v>
      </c>
      <c r="H16" s="18"/>
    </row>
    <row r="17" customFormat="false" ht="19.5" hidden="false" customHeight="true" outlineLevel="0" collapsed="false">
      <c r="A17" s="13" t="n">
        <v>46284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46291</v>
      </c>
      <c r="B18" s="14" t="s">
        <v>90</v>
      </c>
      <c r="C18" s="14" t="s">
        <v>91</v>
      </c>
      <c r="D18" s="15" t="n">
        <v>-125.56</v>
      </c>
      <c r="E18" s="14" t="s">
        <v>73</v>
      </c>
      <c r="F18" s="16" t="s">
        <v>16</v>
      </c>
      <c r="G18" s="17" t="s">
        <v>92</v>
      </c>
      <c r="H18" s="18"/>
    </row>
    <row r="19" customFormat="false" ht="18" hidden="false" customHeight="true" outlineLevel="0" collapsed="false">
      <c r="A19" s="13" t="n">
        <v>46291</v>
      </c>
      <c r="B19" s="14" t="s">
        <v>75</v>
      </c>
      <c r="C19" s="14" t="s">
        <v>76</v>
      </c>
      <c r="D19" s="15" t="n">
        <v>-170</v>
      </c>
      <c r="E19" s="14" t="s">
        <v>73</v>
      </c>
      <c r="F19" s="16" t="s">
        <v>18</v>
      </c>
      <c r="G19" s="17"/>
      <c r="H19" s="18"/>
    </row>
    <row r="20" customFormat="false" ht="18" hidden="false" customHeight="true" outlineLevel="0" collapsed="false">
      <c r="A20" s="13" t="n">
        <v>46292</v>
      </c>
      <c r="B20" s="14" t="s">
        <v>93</v>
      </c>
      <c r="C20" s="14" t="s">
        <v>94</v>
      </c>
      <c r="D20" s="15" t="n">
        <v>2380</v>
      </c>
      <c r="E20" s="14" t="s">
        <v>95</v>
      </c>
      <c r="F20" s="16" t="s">
        <v>96</v>
      </c>
      <c r="G20" s="17" t="s">
        <v>97</v>
      </c>
      <c r="H20" s="18"/>
    </row>
    <row r="21" customFormat="false" ht="18" hidden="false" customHeight="true" outlineLevel="0" collapsed="false">
      <c r="A21" s="13" t="n">
        <v>46295</v>
      </c>
      <c r="B21" s="14" t="s">
        <v>99</v>
      </c>
      <c r="C21" s="14" t="s">
        <v>100</v>
      </c>
      <c r="D21" s="15" t="n">
        <f aca="false">-(0)</f>
        <v>-0</v>
      </c>
      <c r="E21" s="14" t="s">
        <v>73</v>
      </c>
      <c r="F21" s="16" t="s">
        <v>16</v>
      </c>
      <c r="G21" s="17" t="s">
        <v>108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3" activeCellId="0" sqref="A2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118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'09-Sep'!$K$3+$K$2</f>
        <v>2732.76</v>
      </c>
    </row>
    <row r="4" customFormat="false" ht="18" hidden="false" customHeight="true" outlineLevel="0" collapsed="false">
      <c r="A4" s="13" t="n">
        <v>46296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46296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46298</v>
      </c>
      <c r="B6" s="14" t="s">
        <v>75</v>
      </c>
      <c r="C6" s="14" t="s">
        <v>76</v>
      </c>
      <c r="D6" s="15" t="n">
        <v>0</v>
      </c>
      <c r="E6" s="14" t="s">
        <v>98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46304</v>
      </c>
      <c r="B7" s="14" t="s">
        <v>64</v>
      </c>
      <c r="C7" s="14" t="s">
        <v>81</v>
      </c>
      <c r="D7" s="15" t="n">
        <v>-6.99</v>
      </c>
      <c r="E7" s="14" t="s">
        <v>73</v>
      </c>
      <c r="F7" s="16" t="s">
        <v>20</v>
      </c>
      <c r="G7" s="17"/>
      <c r="H7" s="18"/>
    </row>
    <row r="8" customFormat="false" ht="18" hidden="false" customHeight="true" outlineLevel="0" collapsed="false">
      <c r="A8" s="13" t="n">
        <v>46305</v>
      </c>
      <c r="B8" s="14" t="s">
        <v>64</v>
      </c>
      <c r="C8" s="14" t="s">
        <v>82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46305</v>
      </c>
      <c r="B9" s="14" t="s">
        <v>75</v>
      </c>
      <c r="C9" s="14" t="s">
        <v>76</v>
      </c>
      <c r="D9" s="15" t="n">
        <v>-170</v>
      </c>
      <c r="E9" s="14" t="s">
        <v>73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46310</v>
      </c>
      <c r="B10" s="14" t="s">
        <v>60</v>
      </c>
      <c r="C10" s="14" t="s">
        <v>83</v>
      </c>
      <c r="D10" s="15" t="n">
        <v>-218</v>
      </c>
      <c r="E10" s="14" t="s">
        <v>62</v>
      </c>
      <c r="F10" s="16" t="s">
        <v>16</v>
      </c>
      <c r="G10" s="17" t="s">
        <v>84</v>
      </c>
      <c r="H10" s="18"/>
    </row>
    <row r="11" customFormat="false" ht="18" hidden="false" customHeight="true" outlineLevel="0" collapsed="false">
      <c r="A11" s="13" t="n">
        <v>46310</v>
      </c>
      <c r="B11" s="14" t="s">
        <v>60</v>
      </c>
      <c r="C11" s="14" t="s">
        <v>85</v>
      </c>
      <c r="D11" s="15" t="n">
        <v>-545</v>
      </c>
      <c r="E11" s="14" t="s">
        <v>62</v>
      </c>
      <c r="F11" s="16" t="s">
        <v>16</v>
      </c>
      <c r="G11" s="17" t="s">
        <v>86</v>
      </c>
      <c r="H11" s="18"/>
    </row>
    <row r="12" customFormat="false" ht="18" hidden="false" customHeight="true" outlineLevel="0" collapsed="false">
      <c r="A12" s="13" t="n">
        <v>46310</v>
      </c>
      <c r="B12" s="14" t="s">
        <v>78</v>
      </c>
      <c r="C12" s="14" t="s">
        <v>87</v>
      </c>
      <c r="D12" s="15" t="n">
        <v>-31</v>
      </c>
      <c r="E12" s="14" t="s">
        <v>62</v>
      </c>
      <c r="F12" s="16" t="s">
        <v>18</v>
      </c>
      <c r="G12" s="17" t="s">
        <v>88</v>
      </c>
      <c r="H12" s="18"/>
    </row>
    <row r="13" customFormat="false" ht="18" hidden="false" customHeight="true" outlineLevel="0" collapsed="false">
      <c r="A13" s="13" t="n">
        <v>46310</v>
      </c>
      <c r="B13" s="14" t="s">
        <v>78</v>
      </c>
      <c r="C13" s="14" t="s">
        <v>89</v>
      </c>
      <c r="D13" s="15" t="n">
        <v>-14</v>
      </c>
      <c r="E13" s="14" t="s">
        <v>62</v>
      </c>
      <c r="F13" s="16" t="s">
        <v>18</v>
      </c>
      <c r="G13" s="17" t="s">
        <v>88</v>
      </c>
      <c r="H13" s="18"/>
    </row>
    <row r="14" customFormat="false" ht="18" hidden="false" customHeight="true" outlineLevel="0" collapsed="false">
      <c r="A14" s="13" t="n">
        <v>46310</v>
      </c>
      <c r="B14" s="14" t="s">
        <v>78</v>
      </c>
      <c r="C14" s="14" t="s">
        <v>102</v>
      </c>
      <c r="D14" s="15" t="n">
        <v>-120</v>
      </c>
      <c r="E14" s="14" t="s">
        <v>62</v>
      </c>
      <c r="F14" s="16" t="s">
        <v>18</v>
      </c>
      <c r="G14" s="17" t="s">
        <v>103</v>
      </c>
      <c r="H14" s="18"/>
    </row>
    <row r="15" customFormat="false" ht="18" hidden="false" customHeight="true" outlineLevel="0" collapsed="false">
      <c r="A15" s="13" t="n">
        <v>46310</v>
      </c>
      <c r="B15" s="14" t="s">
        <v>78</v>
      </c>
      <c r="C15" s="14" t="s">
        <v>104</v>
      </c>
      <c r="D15" s="15" t="n">
        <v>-20</v>
      </c>
      <c r="E15" s="14" t="s">
        <v>62</v>
      </c>
      <c r="F15" s="16" t="s">
        <v>18</v>
      </c>
      <c r="G15" s="17" t="s">
        <v>103</v>
      </c>
      <c r="H15" s="18"/>
    </row>
    <row r="16" customFormat="false" ht="18" hidden="false" customHeight="true" outlineLevel="0" collapsed="false">
      <c r="A16" s="13" t="n">
        <v>46312</v>
      </c>
      <c r="B16" s="14" t="s">
        <v>75</v>
      </c>
      <c r="C16" s="14" t="s">
        <v>76</v>
      </c>
      <c r="D16" s="15" t="n">
        <v>-170</v>
      </c>
      <c r="E16" s="14" t="s">
        <v>73</v>
      </c>
      <c r="F16" s="16" t="s">
        <v>18</v>
      </c>
      <c r="G16" s="17"/>
      <c r="H16" s="18"/>
    </row>
    <row r="17" customFormat="false" ht="19.5" hidden="false" customHeight="true" outlineLevel="0" collapsed="false">
      <c r="A17" s="13" t="n">
        <v>46319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46321</v>
      </c>
      <c r="B18" s="14" t="s">
        <v>90</v>
      </c>
      <c r="C18" s="14" t="s">
        <v>91</v>
      </c>
      <c r="D18" s="15" t="n">
        <v>-125.56</v>
      </c>
      <c r="E18" s="14" t="s">
        <v>73</v>
      </c>
      <c r="F18" s="16" t="s">
        <v>16</v>
      </c>
      <c r="G18" s="17" t="s">
        <v>92</v>
      </c>
      <c r="H18" s="18"/>
    </row>
    <row r="19" customFormat="false" ht="18" hidden="false" customHeight="true" outlineLevel="0" collapsed="false">
      <c r="A19" s="13" t="n">
        <v>46322</v>
      </c>
      <c r="B19" s="14" t="s">
        <v>93</v>
      </c>
      <c r="C19" s="14" t="s">
        <v>94</v>
      </c>
      <c r="D19" s="15" t="n">
        <v>2380</v>
      </c>
      <c r="E19" s="14" t="s">
        <v>95</v>
      </c>
      <c r="F19" s="16" t="s">
        <v>96</v>
      </c>
      <c r="G19" s="17" t="s">
        <v>97</v>
      </c>
      <c r="H19" s="18"/>
    </row>
    <row r="20" customFormat="false" ht="18" hidden="false" customHeight="true" outlineLevel="0" collapsed="false">
      <c r="A20" s="13" t="n">
        <v>46326</v>
      </c>
      <c r="B20" s="14" t="s">
        <v>75</v>
      </c>
      <c r="C20" s="14" t="s">
        <v>76</v>
      </c>
      <c r="D20" s="15" t="n">
        <v>0</v>
      </c>
      <c r="E20" s="14" t="s">
        <v>98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46326</v>
      </c>
      <c r="B21" s="14" t="s">
        <v>99</v>
      </c>
      <c r="C21" s="14" t="s">
        <v>100</v>
      </c>
      <c r="D21" s="15" t="n">
        <f aca="false">-(0)</f>
        <v>-0</v>
      </c>
      <c r="E21" s="14" t="s">
        <v>73</v>
      </c>
      <c r="F21" s="16" t="s">
        <v>16</v>
      </c>
      <c r="G21" s="17" t="s">
        <v>108</v>
      </c>
      <c r="H21" s="18"/>
    </row>
    <row r="22" customFormat="false" ht="15" hidden="false" customHeight="false" outlineLevel="0" collapsed="false">
      <c r="A22" s="13"/>
      <c r="B22" s="14"/>
      <c r="C22" s="14"/>
      <c r="D22" s="15"/>
      <c r="E22" s="14"/>
      <c r="F22" s="16"/>
      <c r="G22" s="17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24"/>
      <c r="C24" s="24"/>
      <c r="D24" s="24"/>
      <c r="E24" s="24"/>
      <c r="F24" s="24"/>
      <c r="G24" s="24"/>
      <c r="H24" s="18"/>
    </row>
    <row r="25" customFormat="false" ht="15" hidden="false" customHeight="false" outlineLevel="0" collapsed="false">
      <c r="A25" s="13"/>
      <c r="B25" s="14"/>
      <c r="C25" s="14"/>
      <c r="D25" s="24"/>
      <c r="E25" s="24"/>
      <c r="F25" s="24"/>
      <c r="G25" s="24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4" activeCellId="0" sqref="A2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119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-557.73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'10-Oct'!$K$3+$K$2</f>
        <v>2175.03</v>
      </c>
    </row>
    <row r="4" customFormat="false" ht="18" hidden="false" customHeight="true" outlineLevel="0" collapsed="false">
      <c r="A4" s="13" t="n">
        <v>46327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46327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46327</v>
      </c>
      <c r="B6" s="14" t="s">
        <v>68</v>
      </c>
      <c r="C6" s="14" t="s">
        <v>69</v>
      </c>
      <c r="D6" s="15" t="n">
        <v>-154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46333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46335</v>
      </c>
      <c r="B8" s="14" t="s">
        <v>64</v>
      </c>
      <c r="C8" s="14" t="s">
        <v>81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46336</v>
      </c>
      <c r="B9" s="14" t="s">
        <v>64</v>
      </c>
      <c r="C9" s="14" t="s">
        <v>82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46340</v>
      </c>
      <c r="B10" s="14" t="s">
        <v>75</v>
      </c>
      <c r="C10" s="14" t="s">
        <v>76</v>
      </c>
      <c r="D10" s="15" t="n">
        <v>-170</v>
      </c>
      <c r="E10" s="14" t="s">
        <v>73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46341</v>
      </c>
      <c r="B11" s="14" t="s">
        <v>60</v>
      </c>
      <c r="C11" s="14" t="s">
        <v>83</v>
      </c>
      <c r="D11" s="15" t="n">
        <v>-218</v>
      </c>
      <c r="E11" s="14" t="s">
        <v>62</v>
      </c>
      <c r="F11" s="16" t="s">
        <v>16</v>
      </c>
      <c r="G11" s="17" t="s">
        <v>84</v>
      </c>
      <c r="H11" s="18"/>
    </row>
    <row r="12" customFormat="false" ht="18" hidden="false" customHeight="true" outlineLevel="0" collapsed="false">
      <c r="A12" s="13" t="n">
        <v>46341</v>
      </c>
      <c r="B12" s="14" t="s">
        <v>60</v>
      </c>
      <c r="C12" s="14" t="s">
        <v>85</v>
      </c>
      <c r="D12" s="15" t="n">
        <v>-545</v>
      </c>
      <c r="E12" s="14" t="s">
        <v>62</v>
      </c>
      <c r="F12" s="16" t="s">
        <v>16</v>
      </c>
      <c r="G12" s="17" t="s">
        <v>86</v>
      </c>
      <c r="H12" s="18"/>
    </row>
    <row r="13" customFormat="false" ht="18" hidden="false" customHeight="true" outlineLevel="0" collapsed="false">
      <c r="A13" s="13" t="n">
        <v>46341</v>
      </c>
      <c r="B13" s="14" t="s">
        <v>78</v>
      </c>
      <c r="C13" s="14" t="s">
        <v>87</v>
      </c>
      <c r="D13" s="15" t="n">
        <v>-31</v>
      </c>
      <c r="E13" s="14" t="s">
        <v>62</v>
      </c>
      <c r="F13" s="16" t="s">
        <v>18</v>
      </c>
      <c r="G13" s="17" t="s">
        <v>88</v>
      </c>
      <c r="H13" s="18"/>
    </row>
    <row r="14" customFormat="false" ht="18" hidden="false" customHeight="true" outlineLevel="0" collapsed="false">
      <c r="A14" s="13" t="n">
        <v>46341</v>
      </c>
      <c r="B14" s="14" t="s">
        <v>78</v>
      </c>
      <c r="C14" s="14" t="s">
        <v>89</v>
      </c>
      <c r="D14" s="15" t="n">
        <v>-14</v>
      </c>
      <c r="E14" s="14" t="s">
        <v>62</v>
      </c>
      <c r="F14" s="16" t="s">
        <v>18</v>
      </c>
      <c r="G14" s="17" t="s">
        <v>88</v>
      </c>
      <c r="H14" s="18"/>
    </row>
    <row r="15" customFormat="false" ht="18" hidden="false" customHeight="true" outlineLevel="0" collapsed="false">
      <c r="A15" s="13" t="n">
        <v>46341</v>
      </c>
      <c r="B15" s="14" t="s">
        <v>78</v>
      </c>
      <c r="C15" s="14" t="s">
        <v>102</v>
      </c>
      <c r="D15" s="15" t="n">
        <v>-120</v>
      </c>
      <c r="E15" s="14" t="s">
        <v>62</v>
      </c>
      <c r="F15" s="16" t="s">
        <v>18</v>
      </c>
      <c r="G15" s="17" t="s">
        <v>103</v>
      </c>
      <c r="H15" s="18"/>
    </row>
    <row r="16" customFormat="false" ht="18" hidden="false" customHeight="true" outlineLevel="0" collapsed="false">
      <c r="A16" s="13" t="n">
        <v>46341</v>
      </c>
      <c r="B16" s="14" t="s">
        <v>78</v>
      </c>
      <c r="C16" s="14" t="s">
        <v>104</v>
      </c>
      <c r="D16" s="15" t="n">
        <v>-20</v>
      </c>
      <c r="E16" s="14" t="s">
        <v>62</v>
      </c>
      <c r="F16" s="16" t="s">
        <v>18</v>
      </c>
      <c r="G16" s="17" t="s">
        <v>103</v>
      </c>
      <c r="H16" s="18"/>
    </row>
    <row r="17" customFormat="false" ht="18" hidden="false" customHeight="true" outlineLevel="0" collapsed="false">
      <c r="A17" s="13" t="n">
        <v>46347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46352</v>
      </c>
      <c r="B18" s="14" t="s">
        <v>90</v>
      </c>
      <c r="C18" s="14" t="s">
        <v>91</v>
      </c>
      <c r="D18" s="15" t="n">
        <v>-125.56</v>
      </c>
      <c r="E18" s="14" t="s">
        <v>73</v>
      </c>
      <c r="F18" s="16" t="s">
        <v>16</v>
      </c>
      <c r="G18" s="17" t="s">
        <v>92</v>
      </c>
      <c r="H18" s="18"/>
    </row>
    <row r="19" customFormat="false" ht="18" hidden="false" customHeight="true" outlineLevel="0" collapsed="false">
      <c r="A19" s="13" t="n">
        <v>46353</v>
      </c>
      <c r="B19" s="14" t="s">
        <v>93</v>
      </c>
      <c r="C19" s="14" t="s">
        <v>94</v>
      </c>
      <c r="D19" s="15" t="n">
        <v>2380</v>
      </c>
      <c r="E19" s="14" t="s">
        <v>95</v>
      </c>
      <c r="F19" s="16" t="s">
        <v>96</v>
      </c>
      <c r="G19" s="17" t="s">
        <v>97</v>
      </c>
      <c r="H19" s="18"/>
    </row>
    <row r="20" customFormat="false" ht="18" hidden="false" customHeight="true" outlineLevel="0" collapsed="false">
      <c r="A20" s="13" t="n">
        <v>46354</v>
      </c>
      <c r="B20" s="14" t="s">
        <v>75</v>
      </c>
      <c r="C20" s="14" t="s">
        <v>76</v>
      </c>
      <c r="D20" s="15" t="n">
        <v>-170</v>
      </c>
      <c r="E20" s="14" t="s">
        <v>98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46356</v>
      </c>
      <c r="B21" s="14" t="s">
        <v>105</v>
      </c>
      <c r="C21" s="14" t="s">
        <v>106</v>
      </c>
      <c r="D21" s="15" t="n">
        <v>-236.19</v>
      </c>
      <c r="E21" s="14" t="s">
        <v>62</v>
      </c>
      <c r="F21" s="16" t="s">
        <v>16</v>
      </c>
      <c r="G21" s="17" t="s">
        <v>107</v>
      </c>
      <c r="H21" s="18"/>
    </row>
    <row r="22" customFormat="false" ht="18" hidden="false" customHeight="true" outlineLevel="0" collapsed="false">
      <c r="A22" s="13" t="n">
        <v>46356</v>
      </c>
      <c r="B22" s="14" t="s">
        <v>99</v>
      </c>
      <c r="C22" s="14" t="s">
        <v>100</v>
      </c>
      <c r="D22" s="15" t="n">
        <f aca="false">-(0)</f>
        <v>-0</v>
      </c>
      <c r="E22" s="14" t="s">
        <v>73</v>
      </c>
      <c r="F22" s="16" t="s">
        <v>16</v>
      </c>
      <c r="G22" s="17" t="s">
        <v>108</v>
      </c>
      <c r="H22" s="18"/>
    </row>
    <row r="23" customFormat="false" ht="15" hidden="false" customHeight="false" outlineLevel="0" collapsed="false">
      <c r="A23" s="13"/>
      <c r="B23" s="19"/>
      <c r="C23" s="19"/>
      <c r="D23" s="19"/>
      <c r="E23" s="19"/>
      <c r="F23" s="19"/>
      <c r="G23" s="20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4:H24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3" activeCellId="0" sqref="A2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120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2212.46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'11-Nov'!$K$3+$K$2</f>
        <v>4387.49</v>
      </c>
    </row>
    <row r="4" customFormat="false" ht="18" hidden="false" customHeight="true" outlineLevel="0" collapsed="false">
      <c r="A4" s="13" t="n">
        <v>46357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46357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46361</v>
      </c>
      <c r="B6" s="14" t="s">
        <v>75</v>
      </c>
      <c r="C6" s="14" t="s">
        <v>76</v>
      </c>
      <c r="D6" s="15" t="n">
        <v>-170</v>
      </c>
      <c r="E6" s="14" t="s">
        <v>73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46365</v>
      </c>
      <c r="B7" s="14" t="s">
        <v>64</v>
      </c>
      <c r="C7" s="14" t="s">
        <v>81</v>
      </c>
      <c r="D7" s="15" t="n">
        <v>-6.99</v>
      </c>
      <c r="E7" s="14" t="s">
        <v>73</v>
      </c>
      <c r="F7" s="16" t="s">
        <v>20</v>
      </c>
      <c r="G7" s="17"/>
      <c r="H7" s="18"/>
    </row>
    <row r="8" customFormat="false" ht="18" hidden="false" customHeight="true" outlineLevel="0" collapsed="false">
      <c r="A8" s="13" t="n">
        <v>46366</v>
      </c>
      <c r="B8" s="14" t="s">
        <v>64</v>
      </c>
      <c r="C8" s="14" t="s">
        <v>82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46368</v>
      </c>
      <c r="B9" s="14" t="s">
        <v>75</v>
      </c>
      <c r="C9" s="14" t="s">
        <v>76</v>
      </c>
      <c r="D9" s="15" t="n">
        <v>-170</v>
      </c>
      <c r="E9" s="14" t="s">
        <v>73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46371</v>
      </c>
      <c r="B10" s="14" t="s">
        <v>60</v>
      </c>
      <c r="C10" s="14" t="s">
        <v>83</v>
      </c>
      <c r="D10" s="15" t="n">
        <v>-218</v>
      </c>
      <c r="E10" s="14" t="s">
        <v>62</v>
      </c>
      <c r="F10" s="16" t="s">
        <v>16</v>
      </c>
      <c r="G10" s="17" t="s">
        <v>84</v>
      </c>
      <c r="H10" s="18"/>
    </row>
    <row r="11" customFormat="false" ht="18" hidden="false" customHeight="true" outlineLevel="0" collapsed="false">
      <c r="A11" s="13" t="n">
        <v>46371</v>
      </c>
      <c r="B11" s="14" t="s">
        <v>60</v>
      </c>
      <c r="C11" s="14" t="s">
        <v>85</v>
      </c>
      <c r="D11" s="15" t="n">
        <v>-545</v>
      </c>
      <c r="E11" s="14" t="s">
        <v>62</v>
      </c>
      <c r="F11" s="16" t="s">
        <v>16</v>
      </c>
      <c r="G11" s="17" t="s">
        <v>86</v>
      </c>
      <c r="H11" s="18"/>
    </row>
    <row r="12" customFormat="false" ht="18" hidden="false" customHeight="true" outlineLevel="0" collapsed="false">
      <c r="A12" s="13" t="n">
        <v>46371</v>
      </c>
      <c r="B12" s="14" t="s">
        <v>78</v>
      </c>
      <c r="C12" s="14" t="s">
        <v>87</v>
      </c>
      <c r="D12" s="15" t="n">
        <v>-31</v>
      </c>
      <c r="E12" s="14" t="s">
        <v>62</v>
      </c>
      <c r="F12" s="16" t="s">
        <v>18</v>
      </c>
      <c r="G12" s="17" t="s">
        <v>88</v>
      </c>
      <c r="H12" s="18"/>
    </row>
    <row r="13" customFormat="false" ht="18" hidden="false" customHeight="true" outlineLevel="0" collapsed="false">
      <c r="A13" s="13" t="n">
        <v>46371</v>
      </c>
      <c r="B13" s="14" t="s">
        <v>78</v>
      </c>
      <c r="C13" s="14" t="s">
        <v>89</v>
      </c>
      <c r="D13" s="15" t="n">
        <v>-14</v>
      </c>
      <c r="E13" s="14" t="s">
        <v>62</v>
      </c>
      <c r="F13" s="16" t="s">
        <v>18</v>
      </c>
      <c r="G13" s="17" t="s">
        <v>88</v>
      </c>
      <c r="H13" s="18"/>
    </row>
    <row r="14" customFormat="false" ht="18" hidden="false" customHeight="true" outlineLevel="0" collapsed="false">
      <c r="A14" s="13" t="n">
        <v>46371</v>
      </c>
      <c r="B14" s="14" t="s">
        <v>78</v>
      </c>
      <c r="C14" s="14" t="s">
        <v>102</v>
      </c>
      <c r="D14" s="15" t="n">
        <v>-120</v>
      </c>
      <c r="E14" s="14" t="s">
        <v>62</v>
      </c>
      <c r="F14" s="16" t="s">
        <v>18</v>
      </c>
      <c r="G14" s="17" t="s">
        <v>103</v>
      </c>
      <c r="H14" s="18"/>
    </row>
    <row r="15" customFormat="false" ht="18" hidden="false" customHeight="true" outlineLevel="0" collapsed="false">
      <c r="A15" s="13" t="n">
        <v>46371</v>
      </c>
      <c r="B15" s="14" t="s">
        <v>78</v>
      </c>
      <c r="C15" s="14" t="s">
        <v>104</v>
      </c>
      <c r="D15" s="15" t="n">
        <v>-20</v>
      </c>
      <c r="E15" s="14" t="s">
        <v>62</v>
      </c>
      <c r="F15" s="16" t="s">
        <v>18</v>
      </c>
      <c r="G15" s="17" t="s">
        <v>103</v>
      </c>
      <c r="H15" s="18"/>
    </row>
    <row r="16" customFormat="false" ht="18" hidden="false" customHeight="true" outlineLevel="0" collapsed="false">
      <c r="A16" s="13" t="n">
        <v>46375</v>
      </c>
      <c r="B16" s="14" t="s">
        <v>75</v>
      </c>
      <c r="C16" s="14" t="s">
        <v>76</v>
      </c>
      <c r="D16" s="15" t="n">
        <v>-170</v>
      </c>
      <c r="E16" s="14" t="s">
        <v>73</v>
      </c>
      <c r="F16" s="16" t="s">
        <v>18</v>
      </c>
      <c r="G16" s="17"/>
      <c r="H16" s="18"/>
    </row>
    <row r="17" customFormat="false" ht="19.5" hidden="false" customHeight="true" outlineLevel="0" collapsed="false">
      <c r="A17" s="13" t="n">
        <v>46382</v>
      </c>
      <c r="B17" s="14" t="s">
        <v>90</v>
      </c>
      <c r="C17" s="14" t="s">
        <v>91</v>
      </c>
      <c r="D17" s="15" t="n">
        <v>-125.56</v>
      </c>
      <c r="E17" s="14" t="s">
        <v>73</v>
      </c>
      <c r="F17" s="16" t="s">
        <v>16</v>
      </c>
      <c r="G17" s="17" t="s">
        <v>92</v>
      </c>
      <c r="H17" s="18"/>
    </row>
    <row r="18" customFormat="false" ht="18" hidden="false" customHeight="true" outlineLevel="0" collapsed="false">
      <c r="A18" s="13" t="n">
        <v>46382</v>
      </c>
      <c r="B18" s="14" t="s">
        <v>75</v>
      </c>
      <c r="C18" s="14" t="s">
        <v>76</v>
      </c>
      <c r="D18" s="15" t="n">
        <v>-170</v>
      </c>
      <c r="E18" s="14" t="s">
        <v>73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46383</v>
      </c>
      <c r="B19" s="14" t="s">
        <v>93</v>
      </c>
      <c r="C19" s="14" t="s">
        <v>94</v>
      </c>
      <c r="D19" s="15" t="n">
        <v>2380</v>
      </c>
      <c r="E19" s="14" t="s">
        <v>95</v>
      </c>
      <c r="F19" s="16" t="s">
        <v>96</v>
      </c>
      <c r="G19" s="17" t="s">
        <v>97</v>
      </c>
      <c r="H19" s="18"/>
    </row>
    <row r="20" customFormat="false" ht="18" hidden="false" customHeight="true" outlineLevel="0" collapsed="false">
      <c r="A20" s="13" t="n">
        <v>46383</v>
      </c>
      <c r="B20" s="14" t="s">
        <v>93</v>
      </c>
      <c r="C20" s="14" t="s">
        <v>121</v>
      </c>
      <c r="D20" s="15" t="n">
        <f aca="false">SUMIFS($D:$D,$A:$A,DATE(2026,12,27),$C:$C,"Stipendio netto")</f>
        <v>2380</v>
      </c>
      <c r="E20" s="14" t="s">
        <v>95</v>
      </c>
      <c r="F20" s="16" t="s">
        <v>96</v>
      </c>
      <c r="G20" s="17"/>
      <c r="H20" s="18"/>
    </row>
    <row r="21" customFormat="false" ht="18" hidden="false" customHeight="true" outlineLevel="0" collapsed="false">
      <c r="A21" s="13" t="n">
        <v>46387</v>
      </c>
      <c r="B21" s="14" t="s">
        <v>99</v>
      </c>
      <c r="C21" s="14" t="s">
        <v>100</v>
      </c>
      <c r="D21" s="15" t="n">
        <f aca="false">-(0)</f>
        <v>-0</v>
      </c>
      <c r="E21" s="14" t="s">
        <v>73</v>
      </c>
      <c r="F21" s="16" t="s">
        <v>16</v>
      </c>
      <c r="G21" s="17" t="s">
        <v>108</v>
      </c>
      <c r="H21" s="18"/>
    </row>
    <row r="22" customFormat="false" ht="15" hidden="false" customHeight="false" outlineLevel="0" collapsed="false">
      <c r="A22" s="13"/>
      <c r="B22" s="19"/>
      <c r="C22" s="19"/>
      <c r="D22" s="19"/>
      <c r="E22" s="19"/>
      <c r="F22" s="19"/>
      <c r="G22" s="20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22"/>
      <c r="C63" s="22"/>
      <c r="D63" s="15"/>
      <c r="E63" s="22"/>
      <c r="F63" s="18"/>
      <c r="G63" s="23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2"/>
  <mergeCells count="2">
    <mergeCell ref="A1:G1"/>
    <mergeCell ref="A23:H23"/>
  </mergeCells>
  <conditionalFormatting sqref="A4:G62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2" type="list">
      <formula1>"A,B,C,—"</formula1>
      <formula2>0</formula2>
    </dataValidation>
    <dataValidation allowBlank="true" errorStyle="stop" operator="between" showDropDown="false" showErrorMessage="false" showInputMessage="false" sqref="E4:E142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2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2025-12-19T20:33:44Z</dcterms:created>
  <dc:creator>openpyxl</dc:creator>
  <dc:description/>
  <dc:language>it-IT</dc:language>
  <cp:lastModifiedBy/>
  <dcterms:modified xsi:type="dcterms:W3CDTF">2026-01-01T08:53:01Z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
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caccia/VeganBiohackingRoutine/02-Schede/"/>
    </mc:Choice>
  </mc:AlternateContent>
  <xr:revisionPtr revIDLastSave="0" documentId="13_ncr:1_{7E4D9E91-A766-D74A-A190-F01E2DBCF7EB}" xr6:coauthVersionLast="47" xr6:coauthVersionMax="47" xr10:uidLastSave="{00000000-0000-0000-0000-000000000000}"/>
  <bookViews>
    <workbookView xWindow="0" yWindow="660" windowWidth="34560" windowHeight="21680" tabRatio="500" activeTab="2" xr2:uid="{00000000-000D-0000-FFFF-FFFF00000000}"/>
  </bookViews>
  <sheets>
    <sheet name="README" sheetId="1" r:id="rId1"/>
    <sheet name="Sommario" sheetId="2" r:id="rId2"/>
    <sheet name="01-Jan" sheetId="3" r:id="rId3"/>
    <sheet name="02-Feb" sheetId="4" r:id="rId4"/>
    <sheet name="03-Mar" sheetId="5" r:id="rId5"/>
    <sheet name="04-Apr" sheetId="6" r:id="rId6"/>
    <sheet name="05-May" sheetId="7" r:id="rId7"/>
    <sheet name="06-Jun" sheetId="8" r:id="rId8"/>
    <sheet name="07-Jul" sheetId="9" r:id="rId9"/>
    <sheet name="08-Aug" sheetId="10" r:id="rId10"/>
    <sheet name="09-Sep" sheetId="11" r:id="rId11"/>
    <sheet name="10-Oct" sheetId="12" r:id="rId12"/>
    <sheet name="11-Nov" sheetId="13" r:id="rId13"/>
    <sheet name="12-Dec" sheetId="14" r:id="rId14"/>
  </sheets>
  <definedNames>
    <definedName name="_xlnm._FilterDatabase" localSheetId="2" hidden="1">'01-Jan'!$A$3:$H$144</definedName>
    <definedName name="_xlnm._FilterDatabase" localSheetId="3" hidden="1">'02-Feb'!$A$3:$H$144</definedName>
    <definedName name="_xlnm._FilterDatabase" localSheetId="4" hidden="1">'03-Mar'!$A$3:$H$144</definedName>
    <definedName name="_xlnm._FilterDatabase" localSheetId="5" hidden="1">'04-Apr'!$A$3:$H$143</definedName>
    <definedName name="_xlnm._FilterDatabase" localSheetId="6" hidden="1">'05-May'!$A$3:$H$143</definedName>
    <definedName name="_xlnm._FilterDatabase" localSheetId="7" hidden="1">'06-Jun'!$A$3:$H$143</definedName>
    <definedName name="_xlnm._FilterDatabase" localSheetId="8" hidden="1">'07-Jul'!$A$3:$H$144</definedName>
    <definedName name="_xlnm._FilterDatabase" localSheetId="9" hidden="1">'08-Aug'!$A$3:$H$143</definedName>
    <definedName name="_xlnm._FilterDatabase" localSheetId="10" hidden="1">'09-Sep'!$A$3:$H$143</definedName>
    <definedName name="_xlnm._FilterDatabase" localSheetId="11" hidden="1">'10-Oct'!$A$3:$H$143</definedName>
    <definedName name="_xlnm._FilterDatabase" localSheetId="12" hidden="1">'11-Nov'!$A$3:$H$143</definedName>
    <definedName name="_xlnm._FilterDatabase" localSheetId="13" hidden="1">'12-Dec'!$A$3:$H$143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25" i="3" l="1"/>
  <c r="D22" i="14"/>
  <c r="D21" i="14"/>
  <c r="K2" i="14" s="1"/>
  <c r="B14" i="2" s="1"/>
  <c r="D23" i="13"/>
  <c r="K2" i="13"/>
  <c r="B13" i="2" s="1"/>
  <c r="D22" i="12"/>
  <c r="K2" i="12"/>
  <c r="B12" i="2" s="1"/>
  <c r="D22" i="11"/>
  <c r="K2" i="11"/>
  <c r="B11" i="2" s="1"/>
  <c r="D23" i="10"/>
  <c r="K2" i="10"/>
  <c r="B10" i="2" s="1"/>
  <c r="D23" i="9"/>
  <c r="K2" i="9" s="1"/>
  <c r="B9" i="2" s="1"/>
  <c r="D22" i="8"/>
  <c r="D19" i="8"/>
  <c r="D24" i="7"/>
  <c r="K2" i="7"/>
  <c r="B7" i="2" s="1"/>
  <c r="D21" i="6"/>
  <c r="K2" i="6"/>
  <c r="B6" i="2" s="1"/>
  <c r="D23" i="5"/>
  <c r="K2" i="5"/>
  <c r="B5" i="2" s="1"/>
  <c r="D23" i="4"/>
  <c r="K2" i="4" s="1"/>
  <c r="B4" i="2" s="1"/>
  <c r="K2" i="3"/>
  <c r="K3" i="3" s="1"/>
  <c r="K2" i="8" l="1"/>
  <c r="B8" i="2" s="1"/>
  <c r="K3" i="4"/>
  <c r="K3" i="5" s="1"/>
  <c r="K3" i="6" s="1"/>
  <c r="K3" i="7" s="1"/>
  <c r="B3" i="2"/>
  <c r="K3" i="8" l="1"/>
  <c r="K3" i="9" s="1"/>
  <c r="K3" i="10" s="1"/>
  <c r="K3" i="11" s="1"/>
  <c r="K3" i="12" s="1"/>
  <c r="K3" i="13" s="1"/>
  <c r="K3" i="14" s="1"/>
  <c r="C3" i="2"/>
  <c r="C4" i="2" s="1"/>
  <c r="C5" i="2" s="1"/>
  <c r="C6" i="2" s="1"/>
  <c r="C7" i="2" s="1"/>
  <c r="C8" i="2" s="1"/>
  <c r="C9" i="2" s="1"/>
  <c r="C10" i="2" s="1"/>
  <c r="C11" i="2" s="1"/>
  <c r="C12" i="2" s="1"/>
  <c r="C13" i="2" s="1"/>
  <c r="C14" i="2" s="1"/>
  <c r="C15" i="2" s="1"/>
  <c r="B15" i="2"/>
</calcChain>
</file>

<file path=xl/sharedStrings.xml><?xml version="1.0" encoding="utf-8"?>
<sst xmlns="http://schemas.openxmlformats.org/spreadsheetml/2006/main" count="1296" uniqueCount="130">
  <si>
    <t>Calendario finanziario mensile</t>
  </si>
  <si>
    <t>Come usare:</t>
  </si>
  <si>
    <t>Ogni mese ha un foglio dedicato con gli addebiti ricorrenti (1°, 15°, 27) e le eccezioni note.
Colonna 'Metodo' indica SDD/Bonifico/Buoni/etc. Modifica se necessario.
Nei mesi di Rottamazione Quater (Feb/Mag/Ago/Nov) trovi una riga a fine mese e una nota sulla 'zona rossa' 25→3.
Importi Sorgenia sono stime: aggiorna quando hai i valori effettivi.
Prime è annuale (2 gennaio).</t>
  </si>
  <si>
    <t>Buffer (promemoria):</t>
  </si>
  <si>
    <t>• Entro il 1°: 800 € (1.050 € nei mesi Rottamazione)</t>
  </si>
  <si>
    <t>• Entro il 15: 1.000 €</t>
  </si>
  <si>
    <t>• Zona Rottamazione (25→3): lasciare almeno 250 €</t>
  </si>
  <si>
    <t>Regola spesa:</t>
  </si>
  <si>
    <t>• 1 sola spesa settimanale al mese pagata con buoni pasto (accredito con stipendio il 27).</t>
  </si>
  <si>
    <t>Note mensilità extra:</t>
  </si>
  <si>
    <t>• 14esima: 27 giugno (insieme allo stipendio).</t>
  </si>
  <si>
    <t>• 13esima: spesso 24–27 dicembre; qui riportata il 27 per generalità.</t>
  </si>
  <si>
    <t>Eventi Amazon:</t>
  </si>
  <si>
    <t>• Amazon Prime: 2 gennaio (49,99 €/anno).</t>
  </si>
  <si>
    <t>Priorità</t>
  </si>
  <si>
    <t>Significato</t>
  </si>
  <si>
    <t>A</t>
  </si>
  <si>
    <t>Intoccabile (Fisco, rate critiche)</t>
  </si>
  <si>
    <t>B</t>
  </si>
  <si>
    <t>Essenziale (utenze, casa)</t>
  </si>
  <si>
    <t>C</t>
  </si>
  <si>
    <t>Gestibile/Opzionale</t>
  </si>
  <si>
    <t>Pagamento</t>
  </si>
  <si>
    <r>
      <rPr>
        <b/>
        <sz val="11"/>
        <rFont val="Cambria"/>
        <family val="1"/>
      </rPr>
      <t xml:space="preserve">Valori suggeriti (menu a tendina nei mesi): </t>
    </r>
    <r>
      <rPr>
        <sz val="11"/>
        <color theme="1"/>
        <rFont val="Calibri"/>
        <family val="2"/>
        <charset val="1"/>
      </rPr>
      <t>SDD / Accredito / Bancomat / CC moglie / Contanti / Buoni pasto / Gift card / Altro</t>
    </r>
  </si>
  <si>
    <t>Nota</t>
  </si>
  <si>
    <t>Residuo mensile' fisso in G2 di ogni mese.</t>
  </si>
  <si>
    <t>Pagato</t>
  </si>
  <si>
    <t>Colonna H: menu a tendina Sì/No (facoltativo).</t>
  </si>
  <si>
    <t>Protezione soft</t>
  </si>
  <si>
    <t>F2/G2 e intestazioni bloccate; righe dati modificabili. Filtri e ordinamento abilitati.</t>
  </si>
  <si>
    <t>Modifiche</t>
  </si>
  <si>
    <t>Rimossi i duplicati 'Condominio' senza data. Abilitata eliminazione/inserimento righe anche con protezione attiva.</t>
  </si>
  <si>
    <t>Residuo/Cumulato (fissi)</t>
  </si>
  <si>
    <t>In ogni mese: Residuo in K2, Cumulato in K3 (colonne J/K, fuori tabella) per evitare sovrascritture.</t>
  </si>
  <si>
    <t>Mese</t>
  </si>
  <si>
    <t>Saldo netto mese (€)</t>
  </si>
  <si>
    <t>Saldo cumulato (€)</t>
  </si>
  <si>
    <t>Saldo iniziale (anno precedente)</t>
  </si>
  <si>
    <t>Gennaio</t>
  </si>
  <si>
    <t>Febbraio</t>
  </si>
  <si>
    <t>Marzo</t>
  </si>
  <si>
    <t>Aprile</t>
  </si>
  <si>
    <t>Maggio</t>
  </si>
  <si>
    <t>Giugno</t>
  </si>
  <si>
    <t>Luglio</t>
  </si>
  <si>
    <t>Agosto</t>
  </si>
  <si>
    <t>Settembre</t>
  </si>
  <si>
    <t>Ottobre</t>
  </si>
  <si>
    <t>Novembre</t>
  </si>
  <si>
    <t>Dicembre</t>
  </si>
  <si>
    <t>Saldo netto annuale</t>
  </si>
  <si>
    <t>JANUARY 2026</t>
  </si>
  <si>
    <t>Saldo netto mese</t>
  </si>
  <si>
    <t>Data</t>
  </si>
  <si>
    <t>Categoria</t>
  </si>
  <si>
    <t>Voce</t>
  </si>
  <si>
    <t>Importo (€)</t>
  </si>
  <si>
    <t>Metodo</t>
  </si>
  <si>
    <t>Note operative</t>
  </si>
  <si>
    <t>Saldo cumulato</t>
  </si>
  <si>
    <t>Prestito</t>
  </si>
  <si>
    <t>Santander prestito auto rubata</t>
  </si>
  <si>
    <t>SDD</t>
  </si>
  <si>
    <t>Picco del 1° (mantenere buffer).</t>
  </si>
  <si>
    <t>No</t>
  </si>
  <si>
    <t>Servizio</t>
  </si>
  <si>
    <t>Subbyx (Garmin + telefoni)</t>
  </si>
  <si>
    <t>Spostata al 1°.</t>
  </si>
  <si>
    <t>Sì</t>
  </si>
  <si>
    <t>Utenza</t>
  </si>
  <si>
    <t>WindTre Emanuele</t>
  </si>
  <si>
    <t>Essenziale.</t>
  </si>
  <si>
    <t>Amazon</t>
  </si>
  <si>
    <t>Amazon Prime (annuale)</t>
  </si>
  <si>
    <t>CC moglie</t>
  </si>
  <si>
    <t>Rinnovo Prime: 49,99 ma “CC moglie”  mai più</t>
  </si>
  <si>
    <t>Spesa</t>
  </si>
  <si>
    <t>Spesa familiare settimanale</t>
  </si>
  <si>
    <t>182€, con annesso scontro per uso CC moglie</t>
  </si>
  <si>
    <t>Sorgenia elettricità</t>
  </si>
  <si>
    <t>Sorgenia gas</t>
  </si>
  <si>
    <t>Abbonamento Disney+ mensile</t>
  </si>
  <si>
    <t>Bancomat</t>
  </si>
  <si>
    <t>Abbonamento Netflix mensile</t>
  </si>
  <si>
    <t>Fineco prestito personale</t>
  </si>
  <si>
    <t>Picco del 15 (mantenere buffer).</t>
  </si>
  <si>
    <t>WindTre fibra casa</t>
  </si>
  <si>
    <t>WindTre Noemi</t>
  </si>
  <si>
    <t>Auto</t>
  </si>
  <si>
    <t>Assicurazione auto (mensile)</t>
  </si>
  <si>
    <t>Da pagare entro fine mese (se no auto ferma)</t>
  </si>
  <si>
    <t>Entrate</t>
  </si>
  <si>
    <t>Stipendio netto</t>
  </si>
  <si>
    <t>Accredito</t>
  </si>
  <si>
    <t>—</t>
  </si>
  <si>
    <t>Accredito stipendio.</t>
  </si>
  <si>
    <t>Compass prestito auto nuova</t>
  </si>
  <si>
    <t>Ex picco del 15, ora Bollettini postali su Fineco</t>
  </si>
  <si>
    <t>Casa</t>
  </si>
  <si>
    <t>Condominio (bimestrale)</t>
  </si>
  <si>
    <t>Mesi dispari.</t>
  </si>
  <si>
    <t>Buoni pasto</t>
  </si>
  <si>
    <t>Cibo</t>
  </si>
  <si>
    <t>Spinaci extra</t>
  </si>
  <si>
    <t>FEBRUARY 2026</t>
  </si>
  <si>
    <t>Sorgenia elettricità (stima)</t>
  </si>
  <si>
    <t>Aggiorna quando arriva la bolletta.</t>
  </si>
  <si>
    <t>Sorgenia gas (stima)</t>
  </si>
  <si>
    <t>Picco del 15.</t>
  </si>
  <si>
    <t>Fisco</t>
  </si>
  <si>
    <t>AER – Rottamazione Quater (trimestrale)</t>
  </si>
  <si>
    <t>Zona rossa 25→3. Mai saltare.</t>
  </si>
  <si>
    <t>Spesa cumulata mensile: 2€/giorno.</t>
  </si>
  <si>
    <t>MARCH 2026</t>
  </si>
  <si>
    <t>APRIL 2026</t>
  </si>
  <si>
    <t>MAY 2026</t>
  </si>
  <si>
    <t>JUNE 2026</t>
  </si>
  <si>
    <t>14ª mensilità</t>
  </si>
  <si>
    <t>JULY 2026</t>
  </si>
  <si>
    <t>AUGUST 2026</t>
  </si>
  <si>
    <t>SEPTEMBER 2026</t>
  </si>
  <si>
    <t>OCTOBER 2026</t>
  </si>
  <si>
    <t>NOVEMBER 2026</t>
  </si>
  <si>
    <t>DECEMBER 2026</t>
  </si>
  <si>
    <t>13ª mensilità</t>
  </si>
  <si>
    <t>Compass carta Easy</t>
  </si>
  <si>
    <t>Picco del 15</t>
  </si>
  <si>
    <t>Il 2,5,7</t>
  </si>
  <si>
    <t>Non essenziale.</t>
  </si>
  <si>
    <t>Alimenti extra (spinaci, avena, passata, legumi)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</si>
</sst>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"/>
  </numFmts>
  <fonts count="5" x14ac:knownFonts="1">
    <font>
      <sz val="10"/>
      <name val="Arial"/>
      <family val="2"/>
      <charset val="1"/>
    </font>
    <font>
      <sz val="11"/>
      <color theme="1"/>
      <name val="Calibri"/>
      <family val="2"/>
      <charset val="1"/>
    </font>
    <font>
      <b/>
      <sz val="14"/>
      <name val="Cambria"/>
      <family val="1"/>
    </font>
    <font>
      <b/>
      <sz val="11"/>
      <name val="Cambria"/>
      <family val="1"/>
    </font>
    <font>
      <b/>
      <sz val="11"/>
      <color rgb="FFFFFFFF"/>
      <name val="Cambria"/>
      <family val="1"/>
    </font>
  </fonts>
  <fills count="4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404040"/>
        <bgColor rgb="FF333300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1" fillId="0" borderId="0"/>
  </cellStyleXfs>
  <cellXfs count="21">
    <xf numFmtId="0" fontId="0" fillId="0" borderId="0" xfId="0"/>
    <xf numFmtId="164" fontId="4" fillId="3" borderId="1" xfId="1" applyNumberFormat="1" applyFont="1" applyFill="1" applyBorder="1" applyAlignment="1" applyProtection="1">
      <alignment horizontal="left" vertical="center" wrapText="1"/>
      <protection locked="0"/>
    </xf>
    <xf numFmtId="0" fontId="2" fillId="0" borderId="0" xfId="1" applyFont="1" applyAlignment="1">
      <alignment horizontal="center" vertical="center"/>
    </xf>
    <xf numFmtId="0" fontId="2" fillId="0" borderId="0" xfId="1" applyFont="1"/>
    <xf numFmtId="0" fontId="3" fillId="0" borderId="0" xfId="1" applyFont="1"/>
    <xf numFmtId="0" fontId="1" fillId="0" borderId="0" xfId="1" applyAlignment="1">
      <alignment vertical="top" wrapText="1"/>
    </xf>
    <xf numFmtId="0" fontId="3" fillId="0" borderId="0" xfId="1" applyFont="1" applyAlignment="1">
      <alignment horizontal="left" vertical="center"/>
    </xf>
    <xf numFmtId="0" fontId="1" fillId="0" borderId="0" xfId="1" applyAlignment="1">
      <alignment horizontal="left" vertical="center"/>
    </xf>
    <xf numFmtId="0" fontId="3" fillId="0" borderId="0" xfId="1" applyFont="1" applyAlignment="1">
      <alignment horizontal="center" vertical="center"/>
    </xf>
    <xf numFmtId="2" fontId="1" fillId="0" borderId="0" xfId="1" applyNumberFormat="1" applyAlignment="1">
      <alignment horizontal="right" vertical="center"/>
    </xf>
    <xf numFmtId="2" fontId="3" fillId="0" borderId="0" xfId="1" applyNumberFormat="1" applyFont="1" applyAlignment="1">
      <alignment horizontal="right" vertical="center"/>
    </xf>
    <xf numFmtId="0" fontId="3" fillId="0" borderId="0" xfId="1" applyFont="1" applyAlignment="1">
      <alignment horizontal="right" vertical="center"/>
    </xf>
    <xf numFmtId="0" fontId="3" fillId="2" borderId="1" xfId="1" applyFont="1" applyFill="1" applyBorder="1" applyAlignment="1">
      <alignment horizontal="center" vertical="center"/>
    </xf>
    <xf numFmtId="164" fontId="1" fillId="0" borderId="1" xfId="1" applyNumberFormat="1" applyBorder="1" applyAlignment="1" applyProtection="1">
      <alignment horizontal="left" vertical="center"/>
      <protection locked="0"/>
    </xf>
    <xf numFmtId="0" fontId="1" fillId="0" borderId="1" xfId="1" applyBorder="1" applyAlignment="1" applyProtection="1">
      <alignment horizontal="left" vertical="center"/>
      <protection locked="0"/>
    </xf>
    <xf numFmtId="2" fontId="1" fillId="0" borderId="1" xfId="1" applyNumberFormat="1" applyBorder="1" applyAlignment="1" applyProtection="1">
      <alignment horizontal="right" vertical="center"/>
      <protection locked="0"/>
    </xf>
    <xf numFmtId="0" fontId="1" fillId="0" borderId="1" xfId="1" applyBorder="1" applyAlignment="1" applyProtection="1">
      <alignment horizontal="center" vertical="center"/>
      <protection locked="0"/>
    </xf>
    <xf numFmtId="0" fontId="1" fillId="0" borderId="1" xfId="1" applyBorder="1" applyAlignment="1" applyProtection="1">
      <alignment vertical="top" wrapText="1"/>
      <protection locked="0"/>
    </xf>
    <xf numFmtId="0" fontId="1" fillId="0" borderId="2" xfId="1" applyBorder="1" applyProtection="1">
      <protection locked="0"/>
    </xf>
    <xf numFmtId="0" fontId="1" fillId="0" borderId="3" xfId="1" applyBorder="1" applyProtection="1">
      <protection locked="0"/>
    </xf>
    <xf numFmtId="0" fontId="1" fillId="0" borderId="0" xfId="1" applyProtection="1">
      <protection locked="0"/>
    </xf>
  </cellXfs>
  <cellStyles count="2">
    <cellStyle name="Normal" xfId="1" xr:uid="{00000000-0005-0000-0000-000006000000}"/>
    <cellStyle name="Normale" xfId="0" builtinId="0"/>
  </cellStyles>
  <dxfs count="92">
    <dxf>
      <fill>
        <patternFill>
          <bgColor rgb="FFD1E7DD"/>
        </patternFill>
      </fill>
    </dxf>
    <dxf>
      <fill>
        <patternFill>
          <bgColor rgb="FFFFF3CD"/>
        </patternFill>
      </fill>
    </dxf>
    <dxf>
      <fill>
        <patternFill>
          <bgColor rgb="FFF8D7DA"/>
        </patternFill>
      </fill>
    </dxf>
    <dxf>
      <fill>
        <patternFill>
          <bgColor rgb="FFF8D7DA"/>
        </patternFill>
      </fill>
    </dxf>
    <dxf>
      <fill>
        <patternFill>
          <bgColor rgb="FFD1E7DD"/>
        </patternFill>
      </fill>
    </dxf>
    <dxf>
      <fill>
        <patternFill>
          <bgColor rgb="FFFFF3CD"/>
        </patternFill>
      </fill>
    </dxf>
    <dxf>
      <fill>
        <patternFill>
          <bgColor rgb="FFF8D7DA"/>
        </patternFill>
      </fill>
    </dxf>
    <dxf>
      <fill>
        <patternFill>
          <bgColor rgb="FFF8D7DA"/>
        </patternFill>
      </fill>
    </dxf>
    <dxf>
      <fill>
        <patternFill>
          <bgColor rgb="FFD1E7DD"/>
        </patternFill>
      </fill>
    </dxf>
    <dxf>
      <fill>
        <patternFill>
          <bgColor rgb="FFFFF3CD"/>
        </patternFill>
      </fill>
    </dxf>
    <dxf>
      <fill>
        <patternFill>
          <bgColor rgb="FFF8D7DA"/>
        </patternFill>
      </fill>
    </dxf>
    <dxf>
      <fill>
        <patternFill>
          <bgColor rgb="FFF8D7DA"/>
        </patternFill>
      </fill>
    </dxf>
    <dxf>
      <fill>
        <patternFill>
          <bgColor rgb="FFD1E7DD"/>
        </patternFill>
      </fill>
    </dxf>
    <dxf>
      <fill>
        <patternFill>
          <bgColor rgb="FFFFF3CD"/>
        </patternFill>
      </fill>
    </dxf>
    <dxf>
      <fill>
        <patternFill>
          <bgColor rgb="FFF8D7DA"/>
        </patternFill>
      </fill>
    </dxf>
    <dxf>
      <fill>
        <patternFill>
          <bgColor rgb="FFF8D7DA"/>
        </patternFill>
      </fill>
    </dxf>
    <dxf>
      <fill>
        <patternFill>
          <bgColor rgb="FFD1E7DD"/>
        </patternFill>
      </fill>
    </dxf>
    <dxf>
      <fill>
        <patternFill>
          <bgColor rgb="FFFFF3CD"/>
        </patternFill>
      </fill>
    </dxf>
    <dxf>
      <fill>
        <patternFill>
          <bgColor rgb="FFF8D7DA"/>
        </patternFill>
      </fill>
    </dxf>
    <dxf>
      <fill>
        <patternFill>
          <bgColor rgb="FFF8D7DA"/>
        </patternFill>
      </fill>
    </dxf>
    <dxf>
      <fill>
        <patternFill>
          <bgColor rgb="FFD1E7DD"/>
        </patternFill>
      </fill>
    </dxf>
    <dxf>
      <fill>
        <patternFill>
          <bgColor rgb="FFFFF3CD"/>
        </patternFill>
      </fill>
    </dxf>
    <dxf>
      <fill>
        <patternFill>
          <bgColor rgb="FFF8D7DA"/>
        </patternFill>
      </fill>
    </dxf>
    <dxf>
      <fill>
        <patternFill>
          <bgColor rgb="FFF8D7DA"/>
        </patternFill>
      </fill>
    </dxf>
    <dxf>
      <fill>
        <patternFill>
          <bgColor rgb="FFD1E7DD"/>
        </patternFill>
      </fill>
    </dxf>
    <dxf>
      <fill>
        <patternFill>
          <bgColor rgb="FFFFF3CD"/>
        </patternFill>
      </fill>
    </dxf>
    <dxf>
      <fill>
        <patternFill>
          <bgColor rgb="FFF8D7DA"/>
        </patternFill>
      </fill>
    </dxf>
    <dxf>
      <fill>
        <patternFill>
          <bgColor rgb="FFF8D7DA"/>
        </patternFill>
      </fill>
    </dxf>
    <dxf>
      <fill>
        <patternFill>
          <bgColor rgb="FFD1E7DD"/>
        </patternFill>
      </fill>
    </dxf>
    <dxf>
      <fill>
        <patternFill>
          <bgColor rgb="FFFFF3CD"/>
        </patternFill>
      </fill>
    </dxf>
    <dxf>
      <fill>
        <patternFill>
          <bgColor rgb="FFF8D7DA"/>
        </patternFill>
      </fill>
    </dxf>
    <dxf>
      <fill>
        <patternFill>
          <bgColor rgb="FFF8D7DA"/>
        </patternFill>
      </fill>
    </dxf>
    <dxf>
      <fill>
        <patternFill>
          <bgColor rgb="FFD1E7DD"/>
        </patternFill>
      </fill>
    </dxf>
    <dxf>
      <fill>
        <patternFill>
          <bgColor rgb="FFFFF3CD"/>
        </patternFill>
      </fill>
    </dxf>
    <dxf>
      <fill>
        <patternFill>
          <bgColor rgb="FFF8D7DA"/>
        </patternFill>
      </fill>
    </dxf>
    <dxf>
      <fill>
        <patternFill>
          <bgColor rgb="FFF8D7DA"/>
        </patternFill>
      </fill>
    </dxf>
    <dxf>
      <fill>
        <patternFill>
          <bgColor rgb="FFD1E7DD"/>
        </patternFill>
      </fill>
    </dxf>
    <dxf>
      <fill>
        <patternFill>
          <bgColor rgb="FFFFF3CD"/>
        </patternFill>
      </fill>
    </dxf>
    <dxf>
      <fill>
        <patternFill>
          <bgColor rgb="FFF8D7DA"/>
        </patternFill>
      </fill>
    </dxf>
    <dxf>
      <fill>
        <patternFill>
          <bgColor rgb="FFF8D7DA"/>
        </patternFill>
      </fill>
    </dxf>
    <dxf>
      <fill>
        <patternFill>
          <bgColor rgb="FFD1E7DD"/>
        </patternFill>
      </fill>
    </dxf>
    <dxf>
      <fill>
        <patternFill>
          <bgColor rgb="FFFFF3CD"/>
        </patternFill>
      </fill>
    </dxf>
    <dxf>
      <fill>
        <patternFill>
          <bgColor rgb="FFF8D7DA"/>
        </patternFill>
      </fill>
    </dxf>
    <dxf>
      <fill>
        <patternFill>
          <bgColor rgb="FFF8D7DA"/>
        </patternFill>
      </fill>
    </dxf>
    <dxf>
      <fill>
        <patternFill>
          <bgColor rgb="FFD1E7DD"/>
        </patternFill>
      </fill>
    </dxf>
    <dxf>
      <fill>
        <patternFill>
          <bgColor rgb="FFFFF3CD"/>
        </patternFill>
      </fill>
    </dxf>
    <dxf>
      <fill>
        <patternFill>
          <bgColor rgb="FFF8D7DA"/>
        </patternFill>
      </fill>
    </dxf>
    <dxf>
      <fill>
        <patternFill>
          <bgColor rgb="FFF8D7DA"/>
        </patternFill>
      </fill>
    </dxf>
    <dxf>
      <fill>
        <patternFill>
          <bgColor rgb="FFD1E7DD"/>
        </patternFill>
      </fill>
    </dxf>
    <dxf>
      <fill>
        <patternFill>
          <bgColor rgb="FFFFF3CD"/>
        </patternFill>
      </fill>
    </dxf>
    <dxf>
      <fill>
        <patternFill>
          <bgColor rgb="FFF8D7DA"/>
        </patternFill>
      </fill>
    </dxf>
    <dxf>
      <fill>
        <patternFill>
          <bgColor rgb="FFF8D7DA"/>
        </patternFill>
      </fill>
    </dxf>
    <dxf>
      <fill>
        <patternFill>
          <bgColor rgb="FFD1E7DD"/>
        </patternFill>
      </fill>
    </dxf>
    <dxf>
      <fill>
        <patternFill>
          <bgColor rgb="FFFFF3CD"/>
        </patternFill>
      </fill>
    </dxf>
    <dxf>
      <fill>
        <patternFill>
          <bgColor rgb="FFF8D7DA"/>
        </patternFill>
      </fill>
    </dxf>
    <dxf>
      <fill>
        <patternFill>
          <bgColor rgb="FFF8D7DA"/>
        </patternFill>
      </fill>
    </dxf>
    <dxf>
      <fill>
        <patternFill>
          <bgColor rgb="FFD1E7DD"/>
        </patternFill>
      </fill>
    </dxf>
    <dxf>
      <fill>
        <patternFill>
          <bgColor rgb="FFFFF3CD"/>
        </patternFill>
      </fill>
    </dxf>
    <dxf>
      <fill>
        <patternFill>
          <bgColor rgb="FFF8D7DA"/>
        </patternFill>
      </fill>
    </dxf>
    <dxf>
      <fill>
        <patternFill>
          <bgColor rgb="FFF8D7DA"/>
        </patternFill>
      </fill>
    </dxf>
    <dxf>
      <fill>
        <patternFill>
          <bgColor rgb="FFD1E7DD"/>
        </patternFill>
      </fill>
    </dxf>
    <dxf>
      <fill>
        <patternFill>
          <bgColor rgb="FFFFF3CD"/>
        </patternFill>
      </fill>
    </dxf>
    <dxf>
      <fill>
        <patternFill>
          <bgColor rgb="FFF8D7DA"/>
        </patternFill>
      </fill>
    </dxf>
    <dxf>
      <fill>
        <patternFill>
          <bgColor rgb="FFF8D7DA"/>
        </patternFill>
      </fill>
    </dxf>
    <dxf>
      <fill>
        <patternFill>
          <bgColor rgb="FFD1E7DD"/>
        </patternFill>
      </fill>
    </dxf>
    <dxf>
      <fill>
        <patternFill>
          <bgColor rgb="FFFFF3CD"/>
        </patternFill>
      </fill>
    </dxf>
    <dxf>
      <fill>
        <patternFill>
          <bgColor rgb="FFF8D7DA"/>
        </patternFill>
      </fill>
    </dxf>
    <dxf>
      <fill>
        <patternFill>
          <bgColor rgb="FFF8D7DA"/>
        </patternFill>
      </fill>
    </dxf>
    <dxf>
      <fill>
        <patternFill>
          <bgColor rgb="FFD1E7DD"/>
        </patternFill>
      </fill>
    </dxf>
    <dxf>
      <fill>
        <patternFill>
          <bgColor rgb="FFFFF3CD"/>
        </patternFill>
      </fill>
    </dxf>
    <dxf>
      <fill>
        <patternFill>
          <bgColor rgb="FFF8D7DA"/>
        </patternFill>
      </fill>
    </dxf>
    <dxf>
      <fill>
        <patternFill>
          <bgColor rgb="FFF8D7DA"/>
        </patternFill>
      </fill>
    </dxf>
    <dxf>
      <fill>
        <patternFill>
          <bgColor rgb="FFD1E7DD"/>
        </patternFill>
      </fill>
    </dxf>
    <dxf>
      <fill>
        <patternFill>
          <bgColor rgb="FFFFF3CD"/>
        </patternFill>
      </fill>
    </dxf>
    <dxf>
      <fill>
        <patternFill>
          <bgColor rgb="FFF8D7DA"/>
        </patternFill>
      </fill>
    </dxf>
    <dxf>
      <fill>
        <patternFill>
          <bgColor rgb="FFF8D7DA"/>
        </patternFill>
      </fill>
    </dxf>
    <dxf>
      <fill>
        <patternFill>
          <bgColor rgb="FFD1E7DD"/>
        </patternFill>
      </fill>
    </dxf>
    <dxf>
      <fill>
        <patternFill>
          <bgColor rgb="FFFFF3CD"/>
        </patternFill>
      </fill>
    </dxf>
    <dxf>
      <fill>
        <patternFill>
          <bgColor rgb="FFF8D7DA"/>
        </patternFill>
      </fill>
    </dxf>
    <dxf>
      <fill>
        <patternFill>
          <bgColor rgb="FFF8D7DA"/>
        </patternFill>
      </fill>
    </dxf>
    <dxf>
      <fill>
        <patternFill>
          <bgColor rgb="FFD1E7DD"/>
        </patternFill>
      </fill>
    </dxf>
    <dxf>
      <fill>
        <patternFill>
          <bgColor rgb="FFFFF3CD"/>
        </patternFill>
      </fill>
    </dxf>
    <dxf>
      <fill>
        <patternFill>
          <bgColor rgb="FFF8D7DA"/>
        </patternFill>
      </fill>
    </dxf>
    <dxf>
      <fill>
        <patternFill>
          <bgColor rgb="FFF8D7DA"/>
        </patternFill>
      </fill>
    </dxf>
    <dxf>
      <fill>
        <patternFill>
          <bgColor rgb="FFD1E7DD"/>
        </patternFill>
      </fill>
    </dxf>
    <dxf>
      <fill>
        <patternFill>
          <bgColor rgb="FFFFF3CD"/>
        </patternFill>
      </fill>
    </dxf>
    <dxf>
      <fill>
        <patternFill>
          <bgColor rgb="FFF8D7DA"/>
        </patternFill>
      </fill>
    </dxf>
    <dxf>
      <fill>
        <patternFill>
          <bgColor rgb="FFF8D7DA"/>
        </patternFill>
      </fill>
    </dxf>
    <dxf>
      <fill>
        <patternFill>
          <bgColor rgb="FFD1E7DD"/>
        </patternFill>
      </fill>
    </dxf>
    <dxf>
      <fill>
        <patternFill>
          <bgColor rgb="FFFFF3CD"/>
        </patternFill>
      </fill>
    </dxf>
    <dxf>
      <fill>
        <patternFill>
          <bgColor rgb="FFF8D7DA"/>
        </patternFill>
      </fill>
    </dxf>
    <dxf>
      <fill>
        <patternFill>
          <bgColor rgb="FFF8D7DA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CD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1E7DD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8"/>
  <sheetViews>
    <sheetView showGridLines="0" zoomScaleNormal="100" workbookViewId="0">
      <selection activeCell="B14" sqref="B14"/>
    </sheetView>
  </sheetViews>
  <sheetFormatPr baseColWidth="10" defaultColWidth="9.83203125" defaultRowHeight="15" customHeight="1" x14ac:dyDescent="0.15"/>
  <cols>
    <col min="1" max="1" width="74" customWidth="1"/>
    <col min="2" max="2" width="127" customWidth="1"/>
    <col min="16384" max="16384" width="11.5" customWidth="1"/>
  </cols>
  <sheetData>
    <row r="1" spans="1:1" ht="18" x14ac:dyDescent="0.2">
      <c r="A1" s="3" t="s">
        <v>0</v>
      </c>
    </row>
    <row r="3" spans="1:1" ht="14" x14ac:dyDescent="0.15">
      <c r="A3" s="4" t="s">
        <v>1</v>
      </c>
    </row>
    <row r="4" spans="1:1" ht="96" x14ac:dyDescent="0.15">
      <c r="A4" s="5" t="s">
        <v>2</v>
      </c>
    </row>
    <row r="6" spans="1:1" ht="14" x14ac:dyDescent="0.15">
      <c r="A6" s="4" t="s">
        <v>3</v>
      </c>
    </row>
    <row r="7" spans="1:1" ht="13" x14ac:dyDescent="0.15">
      <c r="A7" t="s">
        <v>4</v>
      </c>
    </row>
    <row r="8" spans="1:1" ht="13" x14ac:dyDescent="0.15">
      <c r="A8" t="s">
        <v>5</v>
      </c>
    </row>
    <row r="9" spans="1:1" ht="13" x14ac:dyDescent="0.15">
      <c r="A9" t="s">
        <v>6</v>
      </c>
    </row>
    <row r="11" spans="1:1" ht="14" x14ac:dyDescent="0.15">
      <c r="A11" s="4" t="s">
        <v>7</v>
      </c>
    </row>
    <row r="12" spans="1:1" ht="13" x14ac:dyDescent="0.15">
      <c r="A12" t="s">
        <v>8</v>
      </c>
    </row>
    <row r="14" spans="1:1" ht="14" x14ac:dyDescent="0.15">
      <c r="A14" s="4" t="s">
        <v>9</v>
      </c>
    </row>
    <row r="15" spans="1:1" ht="13" x14ac:dyDescent="0.15">
      <c r="A15" t="s">
        <v>10</v>
      </c>
    </row>
    <row r="16" spans="1:1" ht="13" x14ac:dyDescent="0.15">
      <c r="A16" t="s">
        <v>11</v>
      </c>
    </row>
    <row r="18" spans="1:2" ht="14" x14ac:dyDescent="0.15">
      <c r="A18" s="4" t="s">
        <v>12</v>
      </c>
    </row>
    <row r="19" spans="1:2" ht="13" x14ac:dyDescent="0.15">
      <c r="A19" t="s">
        <v>13</v>
      </c>
    </row>
    <row r="21" spans="1:2" ht="15" customHeight="1" x14ac:dyDescent="0.15">
      <c r="A21" s="6" t="s">
        <v>14</v>
      </c>
      <c r="B21" s="6" t="s">
        <v>15</v>
      </c>
    </row>
    <row r="22" spans="1:2" ht="15" customHeight="1" x14ac:dyDescent="0.15">
      <c r="A22" s="7" t="s">
        <v>16</v>
      </c>
      <c r="B22" s="7" t="s">
        <v>17</v>
      </c>
    </row>
    <row r="23" spans="1:2" ht="15" customHeight="1" x14ac:dyDescent="0.15">
      <c r="A23" s="7" t="s">
        <v>18</v>
      </c>
      <c r="B23" s="7" t="s">
        <v>19</v>
      </c>
    </row>
    <row r="24" spans="1:2" ht="15" customHeight="1" x14ac:dyDescent="0.15">
      <c r="A24" s="7" t="s">
        <v>20</v>
      </c>
      <c r="B24" s="7" t="s">
        <v>21</v>
      </c>
    </row>
    <row r="25" spans="1:2" ht="15" customHeight="1" x14ac:dyDescent="0.15">
      <c r="A25" s="7"/>
      <c r="B25" s="7"/>
    </row>
    <row r="26" spans="1:2" ht="15" customHeight="1" x14ac:dyDescent="0.15">
      <c r="A26" s="6" t="s">
        <v>22</v>
      </c>
      <c r="B26" s="6" t="s">
        <v>23</v>
      </c>
    </row>
    <row r="27" spans="1:2" ht="15" customHeight="1" x14ac:dyDescent="0.15">
      <c r="A27" s="7"/>
      <c r="B27" s="7"/>
    </row>
    <row r="28" spans="1:2" ht="15" customHeight="1" x14ac:dyDescent="0.15">
      <c r="A28" s="7"/>
      <c r="B28" s="7"/>
    </row>
    <row r="29" spans="1:2" ht="15" customHeight="1" x14ac:dyDescent="0.15">
      <c r="A29" s="6" t="s">
        <v>24</v>
      </c>
      <c r="B29" s="6" t="s">
        <v>25</v>
      </c>
    </row>
    <row r="30" spans="1:2" ht="15" customHeight="1" x14ac:dyDescent="0.15">
      <c r="A30" s="7"/>
      <c r="B30" s="7"/>
    </row>
    <row r="32" spans="1:2" ht="15" customHeight="1" x14ac:dyDescent="0.15">
      <c r="A32" s="6" t="s">
        <v>26</v>
      </c>
      <c r="B32" s="7" t="s">
        <v>27</v>
      </c>
    </row>
    <row r="34" spans="1:2" ht="15" customHeight="1" x14ac:dyDescent="0.15">
      <c r="A34" s="6" t="s">
        <v>28</v>
      </c>
      <c r="B34" s="7" t="s">
        <v>29</v>
      </c>
    </row>
    <row r="36" spans="1:2" ht="15" customHeight="1" x14ac:dyDescent="0.15">
      <c r="A36" s="6" t="s">
        <v>30</v>
      </c>
      <c r="B36" s="7" t="s">
        <v>31</v>
      </c>
    </row>
    <row r="38" spans="1:2" ht="15" customHeight="1" x14ac:dyDescent="0.15">
      <c r="A38" s="6" t="s">
        <v>32</v>
      </c>
      <c r="B38" s="7" t="s">
        <v>33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5"/>
  <sheetViews>
    <sheetView zoomScaleNormal="100" workbookViewId="0">
      <pane ySplit="1" topLeftCell="A2" activePane="bottomLeft" state="frozen"/>
      <selection pane="bottomLeft" activeCell="B3" sqref="B3"/>
    </sheetView>
  </sheetViews>
  <sheetFormatPr baseColWidth="10" defaultColWidth="9.83203125" defaultRowHeight="15" customHeight="1" x14ac:dyDescent="0.15"/>
  <cols>
    <col min="1" max="1" width="27.33203125" customWidth="1"/>
    <col min="2" max="2" width="23" customWidth="1"/>
    <col min="3" max="3" width="21.33203125" customWidth="1"/>
  </cols>
  <sheetData>
    <row r="1" spans="1:3" ht="15" customHeight="1" x14ac:dyDescent="0.15">
      <c r="A1" s="8" t="s">
        <v>34</v>
      </c>
      <c r="B1" s="8" t="s">
        <v>35</v>
      </c>
      <c r="C1" s="8" t="s">
        <v>36</v>
      </c>
    </row>
    <row r="2" spans="1:3" ht="15" customHeight="1" x14ac:dyDescent="0.15">
      <c r="A2" t="s">
        <v>37</v>
      </c>
      <c r="B2" s="9"/>
      <c r="C2" s="9">
        <v>534.94000000000005</v>
      </c>
    </row>
    <row r="3" spans="1:3" ht="15" customHeight="1" x14ac:dyDescent="0.15">
      <c r="A3" t="s">
        <v>38</v>
      </c>
      <c r="B3" s="9">
        <f>'01-Jan'!$K$2</f>
        <v>89.890000000000114</v>
      </c>
      <c r="C3" s="9">
        <f t="shared" ref="C3:C14" si="0">C2+B3</f>
        <v>624.83000000000015</v>
      </c>
    </row>
    <row r="4" spans="1:3" ht="15" customHeight="1" x14ac:dyDescent="0.15">
      <c r="A4" t="s">
        <v>39</v>
      </c>
      <c r="B4" s="9">
        <f>'02-Feb'!$K$2</f>
        <v>26.289999999999964</v>
      </c>
      <c r="C4" s="9">
        <f t="shared" si="0"/>
        <v>651.12000000000012</v>
      </c>
    </row>
    <row r="5" spans="1:3" ht="15" customHeight="1" x14ac:dyDescent="0.15">
      <c r="A5" t="s">
        <v>40</v>
      </c>
      <c r="B5" s="9">
        <f>'03-Mar'!$K$2</f>
        <v>108.48000000000002</v>
      </c>
      <c r="C5" s="9">
        <f t="shared" si="0"/>
        <v>759.60000000000014</v>
      </c>
    </row>
    <row r="6" spans="1:3" ht="15" customHeight="1" x14ac:dyDescent="0.15">
      <c r="A6" t="s">
        <v>41</v>
      </c>
      <c r="B6" s="9">
        <f>'04-Apr'!$K$2</f>
        <v>172.48000000000002</v>
      </c>
      <c r="C6" s="9">
        <f t="shared" si="0"/>
        <v>932.08000000000015</v>
      </c>
    </row>
    <row r="7" spans="1:3" ht="15" customHeight="1" x14ac:dyDescent="0.15">
      <c r="A7" t="s">
        <v>42</v>
      </c>
      <c r="B7" s="9">
        <f>'05-May'!$K$2</f>
        <v>122.29000000000002</v>
      </c>
      <c r="C7" s="9">
        <f t="shared" si="0"/>
        <v>1054.3700000000001</v>
      </c>
    </row>
    <row r="8" spans="1:3" ht="15" customHeight="1" x14ac:dyDescent="0.15">
      <c r="A8" t="s">
        <v>43</v>
      </c>
      <c r="B8" s="9">
        <f>'06-Jun'!$K$2</f>
        <v>2382.48</v>
      </c>
      <c r="C8" s="9">
        <f t="shared" si="0"/>
        <v>3436.8500000000004</v>
      </c>
    </row>
    <row r="9" spans="1:3" ht="15" customHeight="1" x14ac:dyDescent="0.15">
      <c r="A9" t="s">
        <v>44</v>
      </c>
      <c r="B9" s="9">
        <f>'07-Jul'!$K$2</f>
        <v>-866.52</v>
      </c>
      <c r="C9" s="9">
        <f t="shared" si="0"/>
        <v>2570.3300000000004</v>
      </c>
    </row>
    <row r="10" spans="1:3" ht="15" customHeight="1" x14ac:dyDescent="0.15">
      <c r="A10" t="s">
        <v>45</v>
      </c>
      <c r="B10" s="9">
        <f>'08-Aug'!$K$2</f>
        <v>-233.70999999999998</v>
      </c>
      <c r="C10" s="9">
        <f t="shared" si="0"/>
        <v>2336.6200000000003</v>
      </c>
    </row>
    <row r="11" spans="1:3" ht="15" customHeight="1" x14ac:dyDescent="0.15">
      <c r="A11" t="s">
        <v>46</v>
      </c>
      <c r="B11" s="9">
        <f>'09-Sep'!$K$2</f>
        <v>-321.52</v>
      </c>
      <c r="C11" s="9">
        <f t="shared" si="0"/>
        <v>2015.1000000000004</v>
      </c>
    </row>
    <row r="12" spans="1:3" ht="15" customHeight="1" x14ac:dyDescent="0.15">
      <c r="A12" t="s">
        <v>47</v>
      </c>
      <c r="B12" s="9">
        <f>'10-Oct'!$K$2</f>
        <v>2.4800000000000182</v>
      </c>
      <c r="C12" s="9">
        <f t="shared" si="0"/>
        <v>2017.5800000000004</v>
      </c>
    </row>
    <row r="13" spans="1:3" ht="15" customHeight="1" x14ac:dyDescent="0.15">
      <c r="A13" t="s">
        <v>48</v>
      </c>
      <c r="B13" s="9">
        <f>'11-Nov'!$K$2</f>
        <v>-557.71</v>
      </c>
      <c r="C13" s="9">
        <f t="shared" si="0"/>
        <v>1459.8700000000003</v>
      </c>
    </row>
    <row r="14" spans="1:3" ht="15" customHeight="1" x14ac:dyDescent="0.15">
      <c r="A14" t="s">
        <v>49</v>
      </c>
      <c r="B14" s="9">
        <f>'12-Dec'!$K$2</f>
        <v>2212.48</v>
      </c>
      <c r="C14" s="9">
        <f t="shared" si="0"/>
        <v>3672.3500000000004</v>
      </c>
    </row>
    <row r="15" spans="1:3" ht="15" customHeight="1" x14ac:dyDescent="0.15">
      <c r="A15" s="4" t="s">
        <v>50</v>
      </c>
      <c r="B15" s="10">
        <f>SUM(B3:B14)</f>
        <v>3137.41</v>
      </c>
      <c r="C15" s="10">
        <f>C14</f>
        <v>3672.3500000000004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048576"/>
  <sheetViews>
    <sheetView showGridLines="0" tabSelected="1" zoomScale="125" zoomScaleNormal="125" workbookViewId="0">
      <selection activeCell="C14" sqref="C14"/>
    </sheetView>
  </sheetViews>
  <sheetFormatPr baseColWidth="10" defaultColWidth="9.83203125" defaultRowHeight="15" customHeight="1" x14ac:dyDescent="0.15"/>
  <cols>
    <col min="1" max="1" width="13.6640625" customWidth="1"/>
    <col min="2" max="2" width="15.83203125" customWidth="1"/>
    <col min="3" max="3" width="43.1640625" customWidth="1"/>
    <col min="4" max="5" width="15.83203125" customWidth="1"/>
    <col min="6" max="6" width="9" customWidth="1"/>
    <col min="7" max="7" width="46.6640625" customWidth="1"/>
    <col min="8" max="8" width="11.33203125" customWidth="1"/>
    <col min="10" max="10" width="20.5" customWidth="1"/>
    <col min="11" max="11" width="18.1640625" customWidth="1"/>
  </cols>
  <sheetData>
    <row r="1" spans="1:11" ht="27.75" customHeight="1" x14ac:dyDescent="0.15">
      <c r="A1" s="2" t="s">
        <v>51</v>
      </c>
      <c r="B1" s="2"/>
      <c r="C1" s="2"/>
      <c r="D1" s="2"/>
      <c r="E1" s="2"/>
      <c r="F1" s="2"/>
      <c r="G1" s="2"/>
    </row>
    <row r="2" spans="1:11" ht="14" x14ac:dyDescent="0.15">
      <c r="F2" s="11"/>
      <c r="G2" s="10"/>
      <c r="J2" s="11" t="s">
        <v>52</v>
      </c>
      <c r="K2" s="10">
        <f>SUMIF($A:$A,"&lt;&gt;",$D:$D)</f>
        <v>89.890000000000114</v>
      </c>
    </row>
    <row r="3" spans="1:11" ht="24" customHeight="1" x14ac:dyDescent="0.15">
      <c r="A3" s="12" t="s">
        <v>53</v>
      </c>
      <c r="B3" s="12" t="s">
        <v>54</v>
      </c>
      <c r="C3" s="12" t="s">
        <v>55</v>
      </c>
      <c r="D3" s="12" t="s">
        <v>56</v>
      </c>
      <c r="E3" s="12" t="s">
        <v>57</v>
      </c>
      <c r="F3" s="12" t="s">
        <v>14</v>
      </c>
      <c r="G3" s="12" t="s">
        <v>58</v>
      </c>
      <c r="H3" s="12" t="s">
        <v>26</v>
      </c>
      <c r="J3" s="11" t="s">
        <v>59</v>
      </c>
      <c r="K3" s="10">
        <f>$K$2</f>
        <v>89.890000000000114</v>
      </c>
    </row>
    <row r="4" spans="1:11" ht="18" customHeight="1" x14ac:dyDescent="0.15">
      <c r="A4" s="13">
        <v>46023</v>
      </c>
      <c r="B4" s="14" t="s">
        <v>60</v>
      </c>
      <c r="C4" s="14" t="s">
        <v>61</v>
      </c>
      <c r="D4" s="15">
        <v>-742</v>
      </c>
      <c r="E4" s="14" t="s">
        <v>62</v>
      </c>
      <c r="F4" s="16" t="s">
        <v>16</v>
      </c>
      <c r="G4" s="17" t="s">
        <v>63</v>
      </c>
      <c r="H4" s="16" t="s">
        <v>64</v>
      </c>
    </row>
    <row r="5" spans="1:11" ht="18" customHeight="1" x14ac:dyDescent="0.15">
      <c r="A5" s="13">
        <v>46023</v>
      </c>
      <c r="B5" s="14" t="s">
        <v>65</v>
      </c>
      <c r="C5" s="14" t="s">
        <v>66</v>
      </c>
      <c r="D5" s="15">
        <v>-38.54</v>
      </c>
      <c r="E5" s="14" t="s">
        <v>62</v>
      </c>
      <c r="F5" s="16" t="s">
        <v>18</v>
      </c>
      <c r="G5" s="17" t="s">
        <v>67</v>
      </c>
      <c r="H5" s="16" t="s">
        <v>68</v>
      </c>
    </row>
    <row r="6" spans="1:11" ht="18" customHeight="1" x14ac:dyDescent="0.15">
      <c r="A6" s="13">
        <v>46024</v>
      </c>
      <c r="B6" s="14" t="s">
        <v>69</v>
      </c>
      <c r="C6" s="14" t="s">
        <v>70</v>
      </c>
      <c r="D6" s="15">
        <v>-6.99</v>
      </c>
      <c r="E6" s="14" t="s">
        <v>62</v>
      </c>
      <c r="F6" s="16" t="s">
        <v>20</v>
      </c>
      <c r="G6" s="17" t="s">
        <v>128</v>
      </c>
      <c r="H6" s="16" t="s">
        <v>68</v>
      </c>
    </row>
    <row r="7" spans="1:11" ht="18" customHeight="1" x14ac:dyDescent="0.15">
      <c r="A7" s="13">
        <v>46024</v>
      </c>
      <c r="B7" s="14" t="s">
        <v>72</v>
      </c>
      <c r="C7" s="14" t="s">
        <v>73</v>
      </c>
      <c r="D7" s="15">
        <v>0</v>
      </c>
      <c r="E7" s="14" t="s">
        <v>74</v>
      </c>
      <c r="F7" s="16" t="s">
        <v>20</v>
      </c>
      <c r="G7" s="17" t="s">
        <v>75</v>
      </c>
      <c r="H7" s="16" t="s">
        <v>68</v>
      </c>
    </row>
    <row r="8" spans="1:11" ht="18" customHeight="1" x14ac:dyDescent="0.15">
      <c r="A8" s="13">
        <v>46025</v>
      </c>
      <c r="B8" s="14" t="s">
        <v>76</v>
      </c>
      <c r="C8" s="14" t="s">
        <v>77</v>
      </c>
      <c r="D8" s="15">
        <v>0</v>
      </c>
      <c r="E8" s="14" t="s">
        <v>74</v>
      </c>
      <c r="F8" s="16" t="s">
        <v>18</v>
      </c>
      <c r="G8" s="17" t="s">
        <v>78</v>
      </c>
      <c r="H8" s="16" t="s">
        <v>68</v>
      </c>
    </row>
    <row r="9" spans="1:11" ht="18" customHeight="1" x14ac:dyDescent="0.15">
      <c r="A9" s="13">
        <v>46027</v>
      </c>
      <c r="B9" s="14" t="s">
        <v>69</v>
      </c>
      <c r="C9" s="14" t="s">
        <v>79</v>
      </c>
      <c r="D9" s="15">
        <v>-123.71</v>
      </c>
      <c r="E9" s="14" t="s">
        <v>62</v>
      </c>
      <c r="F9" s="16" t="s">
        <v>18</v>
      </c>
      <c r="G9" s="17"/>
      <c r="H9" s="16" t="s">
        <v>68</v>
      </c>
    </row>
    <row r="10" spans="1:11" ht="18" customHeight="1" x14ac:dyDescent="0.15">
      <c r="A10" s="13">
        <v>46027</v>
      </c>
      <c r="B10" s="14" t="s">
        <v>69</v>
      </c>
      <c r="C10" s="14" t="s">
        <v>80</v>
      </c>
      <c r="D10" s="15">
        <v>-29.57</v>
      </c>
      <c r="E10" s="14" t="s">
        <v>62</v>
      </c>
      <c r="F10" s="16" t="s">
        <v>18</v>
      </c>
      <c r="G10" s="17"/>
      <c r="H10" s="16" t="s">
        <v>68</v>
      </c>
    </row>
    <row r="11" spans="1:11" ht="18" customHeight="1" x14ac:dyDescent="0.15">
      <c r="A11" s="13">
        <v>46031</v>
      </c>
      <c r="B11" s="14" t="s">
        <v>65</v>
      </c>
      <c r="C11" s="14" t="s">
        <v>81</v>
      </c>
      <c r="D11" s="15">
        <v>-6.99</v>
      </c>
      <c r="E11" s="14" t="s">
        <v>82</v>
      </c>
      <c r="F11" s="16" t="s">
        <v>20</v>
      </c>
      <c r="G11" s="17"/>
      <c r="H11" s="16"/>
    </row>
    <row r="12" spans="1:11" ht="18" customHeight="1" x14ac:dyDescent="0.15">
      <c r="A12" s="13">
        <v>46032</v>
      </c>
      <c r="B12" s="14" t="s">
        <v>65</v>
      </c>
      <c r="C12" s="14" t="s">
        <v>83</v>
      </c>
      <c r="D12" s="15">
        <v>-6.99</v>
      </c>
      <c r="E12" s="14" t="s">
        <v>82</v>
      </c>
      <c r="F12" s="16" t="s">
        <v>20</v>
      </c>
      <c r="G12" s="17"/>
      <c r="H12" s="16"/>
    </row>
    <row r="13" spans="1:11" ht="18" customHeight="1" x14ac:dyDescent="0.15">
      <c r="A13" s="13">
        <v>46032</v>
      </c>
      <c r="B13" s="14" t="s">
        <v>76</v>
      </c>
      <c r="C13" s="14" t="s">
        <v>77</v>
      </c>
      <c r="D13" s="15">
        <v>0</v>
      </c>
      <c r="E13" s="14" t="s">
        <v>74</v>
      </c>
      <c r="F13" s="16" t="s">
        <v>18</v>
      </c>
      <c r="G13" s="17"/>
      <c r="H13" s="16"/>
    </row>
    <row r="14" spans="1:11" ht="18" customHeight="1" x14ac:dyDescent="0.15">
      <c r="A14" s="13">
        <v>46037</v>
      </c>
      <c r="B14" s="14" t="s">
        <v>60</v>
      </c>
      <c r="C14" s="14" t="s">
        <v>125</v>
      </c>
      <c r="D14" s="15">
        <v>-250</v>
      </c>
      <c r="E14" s="14" t="s">
        <v>62</v>
      </c>
      <c r="F14" s="16" t="s">
        <v>16</v>
      </c>
      <c r="G14" s="17" t="s">
        <v>126</v>
      </c>
      <c r="H14" s="16"/>
    </row>
    <row r="15" spans="1:11" ht="18" customHeight="1" x14ac:dyDescent="0.15">
      <c r="A15" s="13">
        <v>46037</v>
      </c>
      <c r="B15" s="14" t="s">
        <v>60</v>
      </c>
      <c r="C15" s="14" t="s">
        <v>84</v>
      </c>
      <c r="D15" s="15">
        <v>-218.03</v>
      </c>
      <c r="E15" s="14" t="s">
        <v>62</v>
      </c>
      <c r="F15" s="16" t="s">
        <v>16</v>
      </c>
      <c r="G15" s="17" t="s">
        <v>126</v>
      </c>
      <c r="H15" s="16"/>
    </row>
    <row r="16" spans="1:11" ht="18" customHeight="1" x14ac:dyDescent="0.15">
      <c r="A16" s="13">
        <v>46037</v>
      </c>
      <c r="B16" s="14" t="s">
        <v>69</v>
      </c>
      <c r="C16" s="14" t="s">
        <v>86</v>
      </c>
      <c r="D16" s="15">
        <v>-31</v>
      </c>
      <c r="E16" s="14" t="s">
        <v>62</v>
      </c>
      <c r="F16" s="16" t="s">
        <v>18</v>
      </c>
      <c r="G16" s="17" t="s">
        <v>71</v>
      </c>
      <c r="H16" s="16"/>
    </row>
    <row r="17" spans="1:8" ht="18" customHeight="1" x14ac:dyDescent="0.15">
      <c r="A17" s="13">
        <v>46037</v>
      </c>
      <c r="B17" s="14" t="s">
        <v>69</v>
      </c>
      <c r="C17" s="14" t="s">
        <v>87</v>
      </c>
      <c r="D17" s="15">
        <v>-6.99</v>
      </c>
      <c r="E17" s="14" t="s">
        <v>62</v>
      </c>
      <c r="F17" s="16" t="s">
        <v>20</v>
      </c>
      <c r="G17" s="17" t="s">
        <v>128</v>
      </c>
      <c r="H17" s="16"/>
    </row>
    <row r="18" spans="1:8" ht="18" customHeight="1" x14ac:dyDescent="0.15">
      <c r="A18" s="13">
        <v>46039</v>
      </c>
      <c r="B18" s="14" t="s">
        <v>76</v>
      </c>
      <c r="C18" s="14" t="s">
        <v>77</v>
      </c>
      <c r="D18" s="15">
        <v>0</v>
      </c>
      <c r="E18" s="14" t="s">
        <v>74</v>
      </c>
      <c r="F18" s="16" t="s">
        <v>18</v>
      </c>
      <c r="G18" s="17"/>
      <c r="H18" s="16"/>
    </row>
    <row r="19" spans="1:8" ht="18" customHeight="1" x14ac:dyDescent="0.15">
      <c r="A19" s="13">
        <v>46046</v>
      </c>
      <c r="B19" s="14" t="s">
        <v>76</v>
      </c>
      <c r="C19" s="14" t="s">
        <v>77</v>
      </c>
      <c r="D19" s="15">
        <v>0</v>
      </c>
      <c r="E19" s="14" t="s">
        <v>74</v>
      </c>
      <c r="F19" s="16" t="s">
        <v>18</v>
      </c>
      <c r="G19" s="17"/>
      <c r="H19" s="16"/>
    </row>
    <row r="20" spans="1:8" ht="18" customHeight="1" x14ac:dyDescent="0.15">
      <c r="A20" s="13">
        <v>46048</v>
      </c>
      <c r="B20" s="14" t="s">
        <v>88</v>
      </c>
      <c r="C20" s="14" t="s">
        <v>89</v>
      </c>
      <c r="D20" s="15">
        <v>-125.56</v>
      </c>
      <c r="E20" s="14" t="s">
        <v>82</v>
      </c>
      <c r="F20" s="16" t="s">
        <v>16</v>
      </c>
      <c r="G20" s="17" t="s">
        <v>90</v>
      </c>
      <c r="H20" s="16"/>
    </row>
    <row r="21" spans="1:8" ht="18" customHeight="1" x14ac:dyDescent="0.15">
      <c r="A21" s="13">
        <v>46049</v>
      </c>
      <c r="B21" s="14" t="s">
        <v>91</v>
      </c>
      <c r="C21" s="14" t="s">
        <v>92</v>
      </c>
      <c r="D21" s="15">
        <v>2380</v>
      </c>
      <c r="E21" s="14" t="s">
        <v>93</v>
      </c>
      <c r="F21" s="16" t="s">
        <v>94</v>
      </c>
      <c r="G21" s="17" t="s">
        <v>95</v>
      </c>
      <c r="H21" s="16"/>
    </row>
    <row r="22" spans="1:8" ht="18" customHeight="1" x14ac:dyDescent="0.15">
      <c r="A22" s="13">
        <v>46049</v>
      </c>
      <c r="B22" s="14" t="s">
        <v>60</v>
      </c>
      <c r="C22" s="14" t="s">
        <v>96</v>
      </c>
      <c r="D22" s="15">
        <v>-545</v>
      </c>
      <c r="E22" s="14" t="s">
        <v>62</v>
      </c>
      <c r="F22" s="16" t="s">
        <v>16</v>
      </c>
      <c r="G22" s="17" t="s">
        <v>97</v>
      </c>
      <c r="H22" s="16"/>
    </row>
    <row r="23" spans="1:8" ht="19.5" customHeight="1" x14ac:dyDescent="0.15">
      <c r="A23" s="13">
        <v>46050</v>
      </c>
      <c r="B23" s="14" t="s">
        <v>98</v>
      </c>
      <c r="C23" s="14" t="s">
        <v>99</v>
      </c>
      <c r="D23" s="15">
        <v>-154</v>
      </c>
      <c r="E23" s="14" t="s">
        <v>62</v>
      </c>
      <c r="F23" s="16" t="s">
        <v>18</v>
      </c>
      <c r="G23" s="17" t="s">
        <v>100</v>
      </c>
      <c r="H23" s="16"/>
    </row>
    <row r="24" spans="1:8" ht="18" customHeight="1" x14ac:dyDescent="0.15">
      <c r="A24" s="13">
        <v>46053</v>
      </c>
      <c r="B24" s="14" t="s">
        <v>76</v>
      </c>
      <c r="C24" s="14" t="s">
        <v>77</v>
      </c>
      <c r="D24" s="15">
        <v>0</v>
      </c>
      <c r="E24" s="14" t="s">
        <v>101</v>
      </c>
      <c r="F24" s="16" t="s">
        <v>18</v>
      </c>
      <c r="G24" s="17"/>
      <c r="H24" s="16"/>
    </row>
    <row r="25" spans="1:8" ht="16" x14ac:dyDescent="0.15">
      <c r="A25" s="13">
        <v>46053</v>
      </c>
      <c r="B25" s="14" t="s">
        <v>102</v>
      </c>
      <c r="C25" s="14" t="s">
        <v>129</v>
      </c>
      <c r="D25" s="15">
        <f>-(1*1.99+1*1.75+1*1)</f>
        <v>-4.74</v>
      </c>
      <c r="E25" s="14" t="s">
        <v>82</v>
      </c>
      <c r="F25" s="16" t="s">
        <v>16</v>
      </c>
      <c r="G25" s="17" t="s">
        <v>127</v>
      </c>
      <c r="H25" s="16"/>
    </row>
    <row r="26" spans="1:8" x14ac:dyDescent="0.2">
      <c r="A26" s="13"/>
      <c r="B26" s="18"/>
      <c r="C26" s="18"/>
      <c r="D26" s="18"/>
      <c r="E26" s="18"/>
      <c r="F26" s="18"/>
      <c r="G26" s="19"/>
      <c r="H26" s="16"/>
    </row>
    <row r="27" spans="1:8" ht="16.5" customHeight="1" x14ac:dyDescent="0.15">
      <c r="A27" s="1"/>
      <c r="B27" s="1"/>
      <c r="C27" s="1"/>
      <c r="D27" s="1"/>
      <c r="E27" s="1"/>
      <c r="F27" s="1"/>
      <c r="G27" s="1"/>
      <c r="H27" s="1"/>
    </row>
    <row r="28" spans="1:8" x14ac:dyDescent="0.15">
      <c r="A28" s="13"/>
      <c r="B28" s="14"/>
      <c r="C28" s="14"/>
      <c r="D28" s="15"/>
      <c r="E28" s="14"/>
      <c r="F28" s="16"/>
      <c r="G28" s="17"/>
      <c r="H28" s="16"/>
    </row>
    <row r="29" spans="1:8" x14ac:dyDescent="0.15">
      <c r="A29" s="13"/>
      <c r="B29" s="14"/>
      <c r="C29" s="14"/>
      <c r="D29" s="15"/>
      <c r="E29" s="14"/>
      <c r="F29" s="16"/>
      <c r="G29" s="17"/>
      <c r="H29" s="16"/>
    </row>
    <row r="30" spans="1:8" x14ac:dyDescent="0.15">
      <c r="A30" s="13"/>
      <c r="B30" s="14"/>
      <c r="C30" s="14"/>
      <c r="D30" s="15"/>
      <c r="E30" s="14"/>
      <c r="F30" s="16"/>
      <c r="G30" s="17"/>
      <c r="H30" s="16"/>
    </row>
    <row r="31" spans="1:8" x14ac:dyDescent="0.15">
      <c r="A31" s="13"/>
      <c r="B31" s="14"/>
      <c r="C31" s="14"/>
      <c r="D31" s="15"/>
      <c r="E31" s="14"/>
      <c r="F31" s="16"/>
      <c r="G31" s="17"/>
      <c r="H31" s="16"/>
    </row>
    <row r="32" spans="1:8" x14ac:dyDescent="0.15">
      <c r="A32" s="13"/>
      <c r="B32" s="14"/>
      <c r="C32" s="14"/>
      <c r="D32" s="15"/>
      <c r="E32" s="14"/>
      <c r="F32" s="16"/>
      <c r="G32" s="17"/>
      <c r="H32" s="16"/>
    </row>
    <row r="33" spans="1:8" x14ac:dyDescent="0.15">
      <c r="A33" s="13"/>
      <c r="B33" s="14"/>
      <c r="C33" s="14"/>
      <c r="D33" s="15"/>
      <c r="E33" s="14"/>
      <c r="F33" s="16"/>
      <c r="G33" s="17"/>
      <c r="H33" s="16"/>
    </row>
    <row r="34" spans="1:8" x14ac:dyDescent="0.15">
      <c r="A34" s="13"/>
      <c r="B34" s="14"/>
      <c r="C34" s="14"/>
      <c r="D34" s="15"/>
      <c r="E34" s="14"/>
      <c r="F34" s="16"/>
      <c r="G34" s="17"/>
      <c r="H34" s="16"/>
    </row>
    <row r="35" spans="1:8" x14ac:dyDescent="0.15">
      <c r="A35" s="13"/>
      <c r="B35" s="14"/>
      <c r="C35" s="14"/>
      <c r="D35" s="15"/>
      <c r="E35" s="14"/>
      <c r="F35" s="16"/>
      <c r="G35" s="17"/>
      <c r="H35" s="16"/>
    </row>
    <row r="36" spans="1:8" x14ac:dyDescent="0.15">
      <c r="A36" s="13"/>
      <c r="B36" s="14"/>
      <c r="C36" s="14"/>
      <c r="D36" s="15"/>
      <c r="E36" s="14"/>
      <c r="F36" s="16"/>
      <c r="G36" s="17"/>
      <c r="H36" s="16"/>
    </row>
    <row r="37" spans="1:8" x14ac:dyDescent="0.15">
      <c r="A37" s="13"/>
      <c r="B37" s="14"/>
      <c r="C37" s="14"/>
      <c r="D37" s="15"/>
      <c r="E37" s="14"/>
      <c r="F37" s="16"/>
      <c r="G37" s="17"/>
      <c r="H37" s="16"/>
    </row>
    <row r="38" spans="1:8" x14ac:dyDescent="0.15">
      <c r="A38" s="13"/>
      <c r="B38" s="14"/>
      <c r="C38" s="14"/>
      <c r="D38" s="15"/>
      <c r="E38" s="14"/>
      <c r="F38" s="16"/>
      <c r="G38" s="17"/>
      <c r="H38" s="16"/>
    </row>
    <row r="39" spans="1:8" x14ac:dyDescent="0.15">
      <c r="A39" s="13"/>
      <c r="B39" s="14"/>
      <c r="C39" s="14"/>
      <c r="D39" s="15"/>
      <c r="E39" s="14"/>
      <c r="F39" s="16"/>
      <c r="G39" s="17"/>
      <c r="H39" s="16"/>
    </row>
    <row r="40" spans="1:8" x14ac:dyDescent="0.15">
      <c r="A40" s="13"/>
      <c r="B40" s="14"/>
      <c r="C40" s="14"/>
      <c r="D40" s="15"/>
      <c r="E40" s="14"/>
      <c r="F40" s="16"/>
      <c r="G40" s="17"/>
      <c r="H40" s="16"/>
    </row>
    <row r="41" spans="1:8" x14ac:dyDescent="0.15">
      <c r="A41" s="13"/>
      <c r="B41" s="14"/>
      <c r="C41" s="14"/>
      <c r="D41" s="15"/>
      <c r="E41" s="14"/>
      <c r="F41" s="16"/>
      <c r="G41" s="17"/>
      <c r="H41" s="16"/>
    </row>
    <row r="42" spans="1:8" x14ac:dyDescent="0.15">
      <c r="A42" s="13"/>
      <c r="B42" s="14"/>
      <c r="C42" s="14"/>
      <c r="D42" s="15"/>
      <c r="E42" s="14"/>
      <c r="F42" s="16"/>
      <c r="G42" s="17"/>
      <c r="H42" s="16"/>
    </row>
    <row r="43" spans="1:8" x14ac:dyDescent="0.15">
      <c r="A43" s="13"/>
      <c r="B43" s="14"/>
      <c r="C43" s="14"/>
      <c r="D43" s="15"/>
      <c r="E43" s="14"/>
      <c r="F43" s="16"/>
      <c r="G43" s="17"/>
      <c r="H43" s="16"/>
    </row>
    <row r="44" spans="1:8" x14ac:dyDescent="0.15">
      <c r="A44" s="13"/>
      <c r="B44" s="14"/>
      <c r="C44" s="14"/>
      <c r="D44" s="15"/>
      <c r="E44" s="14"/>
      <c r="F44" s="16"/>
      <c r="G44" s="17"/>
      <c r="H44" s="16"/>
    </row>
    <row r="45" spans="1:8" x14ac:dyDescent="0.15">
      <c r="A45" s="13"/>
      <c r="B45" s="14"/>
      <c r="C45" s="14"/>
      <c r="D45" s="15"/>
      <c r="E45" s="14"/>
      <c r="F45" s="16"/>
      <c r="G45" s="17"/>
      <c r="H45" s="16"/>
    </row>
    <row r="46" spans="1:8" x14ac:dyDescent="0.15">
      <c r="A46" s="13"/>
      <c r="B46" s="14"/>
      <c r="C46" s="14"/>
      <c r="D46" s="15"/>
      <c r="E46" s="14"/>
      <c r="F46" s="16"/>
      <c r="G46" s="17"/>
      <c r="H46" s="16"/>
    </row>
    <row r="47" spans="1:8" x14ac:dyDescent="0.15">
      <c r="A47" s="13"/>
      <c r="B47" s="14"/>
      <c r="C47" s="14"/>
      <c r="D47" s="15"/>
      <c r="E47" s="14"/>
      <c r="F47" s="16"/>
      <c r="G47" s="17"/>
      <c r="H47" s="16"/>
    </row>
    <row r="48" spans="1:8" x14ac:dyDescent="0.15">
      <c r="A48" s="13"/>
      <c r="B48" s="14"/>
      <c r="C48" s="14"/>
      <c r="D48" s="15"/>
      <c r="E48" s="14"/>
      <c r="F48" s="16"/>
      <c r="G48" s="17"/>
      <c r="H48" s="16"/>
    </row>
    <row r="49" spans="1:8" x14ac:dyDescent="0.15">
      <c r="A49" s="13"/>
      <c r="B49" s="14"/>
      <c r="C49" s="14"/>
      <c r="D49" s="15"/>
      <c r="E49" s="14"/>
      <c r="F49" s="16"/>
      <c r="G49" s="17"/>
      <c r="H49" s="16"/>
    </row>
    <row r="50" spans="1:8" x14ac:dyDescent="0.15">
      <c r="A50" s="13"/>
      <c r="B50" s="14"/>
      <c r="C50" s="14"/>
      <c r="D50" s="15"/>
      <c r="E50" s="14"/>
      <c r="F50" s="16"/>
      <c r="G50" s="17"/>
      <c r="H50" s="16"/>
    </row>
    <row r="51" spans="1:8" x14ac:dyDescent="0.15">
      <c r="A51" s="13"/>
      <c r="B51" s="14"/>
      <c r="C51" s="14"/>
      <c r="D51" s="15"/>
      <c r="E51" s="14"/>
      <c r="F51" s="16"/>
      <c r="G51" s="17"/>
      <c r="H51" s="16"/>
    </row>
    <row r="52" spans="1:8" x14ac:dyDescent="0.15">
      <c r="A52" s="13"/>
      <c r="B52" s="14"/>
      <c r="C52" s="14"/>
      <c r="D52" s="15"/>
      <c r="E52" s="14"/>
      <c r="F52" s="16"/>
      <c r="G52" s="17"/>
      <c r="H52" s="16"/>
    </row>
    <row r="53" spans="1:8" x14ac:dyDescent="0.15">
      <c r="A53" s="13"/>
      <c r="B53" s="14"/>
      <c r="C53" s="14"/>
      <c r="D53" s="15"/>
      <c r="E53" s="14"/>
      <c r="F53" s="16"/>
      <c r="G53" s="17"/>
      <c r="H53" s="16"/>
    </row>
    <row r="54" spans="1:8" x14ac:dyDescent="0.15">
      <c r="A54" s="13"/>
      <c r="B54" s="14"/>
      <c r="C54" s="14"/>
      <c r="D54" s="15"/>
      <c r="E54" s="14"/>
      <c r="F54" s="16"/>
      <c r="G54" s="17"/>
      <c r="H54" s="16"/>
    </row>
    <row r="55" spans="1:8" x14ac:dyDescent="0.15">
      <c r="A55" s="13"/>
      <c r="B55" s="14"/>
      <c r="C55" s="14"/>
      <c r="D55" s="15"/>
      <c r="E55" s="14"/>
      <c r="F55" s="16"/>
      <c r="G55" s="17"/>
      <c r="H55" s="16"/>
    </row>
    <row r="56" spans="1:8" x14ac:dyDescent="0.15">
      <c r="A56" s="13"/>
      <c r="B56" s="14"/>
      <c r="C56" s="14"/>
      <c r="D56" s="15"/>
      <c r="E56" s="14"/>
      <c r="F56" s="16"/>
      <c r="G56" s="17"/>
      <c r="H56" s="16"/>
    </row>
    <row r="57" spans="1:8" x14ac:dyDescent="0.15">
      <c r="A57" s="13"/>
      <c r="B57" s="14"/>
      <c r="C57" s="14"/>
      <c r="D57" s="15"/>
      <c r="E57" s="14"/>
      <c r="F57" s="16"/>
      <c r="G57" s="17"/>
      <c r="H57" s="16"/>
    </row>
    <row r="58" spans="1:8" x14ac:dyDescent="0.15">
      <c r="A58" s="13"/>
      <c r="B58" s="14"/>
      <c r="C58" s="14"/>
      <c r="D58" s="15"/>
      <c r="E58" s="14"/>
      <c r="F58" s="16"/>
      <c r="G58" s="17"/>
      <c r="H58" s="16"/>
    </row>
    <row r="59" spans="1:8" x14ac:dyDescent="0.15">
      <c r="A59" s="13"/>
      <c r="B59" s="14"/>
      <c r="C59" s="14"/>
      <c r="D59" s="15"/>
      <c r="E59" s="14"/>
      <c r="F59" s="16"/>
      <c r="G59" s="17"/>
      <c r="H59" s="16"/>
    </row>
    <row r="60" spans="1:8" x14ac:dyDescent="0.15">
      <c r="A60" s="13"/>
      <c r="B60" s="14"/>
      <c r="C60" s="14"/>
      <c r="D60" s="15"/>
      <c r="E60" s="14"/>
      <c r="F60" s="16"/>
      <c r="G60" s="17"/>
      <c r="H60" s="16"/>
    </row>
    <row r="61" spans="1:8" x14ac:dyDescent="0.15">
      <c r="A61" s="13"/>
      <c r="B61" s="14"/>
      <c r="C61" s="14"/>
      <c r="D61" s="15"/>
      <c r="E61" s="14"/>
      <c r="F61" s="16"/>
      <c r="G61" s="17"/>
      <c r="H61" s="16"/>
    </row>
    <row r="62" spans="1:8" x14ac:dyDescent="0.15">
      <c r="A62" s="13"/>
      <c r="B62" s="14"/>
      <c r="C62" s="14"/>
      <c r="D62" s="15"/>
      <c r="E62" s="14"/>
      <c r="F62" s="16"/>
      <c r="G62" s="17"/>
      <c r="H62" s="16"/>
    </row>
    <row r="63" spans="1:8" x14ac:dyDescent="0.15">
      <c r="A63" s="13"/>
      <c r="B63" s="14"/>
      <c r="C63" s="14"/>
      <c r="D63" s="15"/>
      <c r="E63" s="14"/>
      <c r="F63" s="16"/>
      <c r="G63" s="17"/>
      <c r="H63" s="16"/>
    </row>
    <row r="64" spans="1:8" x14ac:dyDescent="0.15">
      <c r="A64" s="13"/>
      <c r="B64" s="14"/>
      <c r="C64" s="14"/>
      <c r="D64" s="15"/>
      <c r="E64" s="14"/>
      <c r="F64" s="16"/>
      <c r="G64" s="17"/>
      <c r="H64" s="16"/>
    </row>
    <row r="65" spans="1:8" x14ac:dyDescent="0.15">
      <c r="A65" s="13"/>
      <c r="B65" s="14"/>
      <c r="C65" s="14"/>
      <c r="D65" s="15"/>
      <c r="E65" s="14"/>
      <c r="F65" s="16"/>
      <c r="G65" s="17"/>
      <c r="H65" s="16"/>
    </row>
    <row r="66" spans="1:8" x14ac:dyDescent="0.15">
      <c r="A66" s="13"/>
      <c r="B66" s="14"/>
      <c r="C66" s="14"/>
      <c r="D66" s="15"/>
      <c r="E66" s="14"/>
      <c r="F66" s="16"/>
      <c r="G66" s="17"/>
      <c r="H66" s="16"/>
    </row>
    <row r="67" spans="1:8" x14ac:dyDescent="0.15">
      <c r="A67" s="13"/>
      <c r="B67" s="14"/>
      <c r="C67" s="14"/>
      <c r="D67" s="15"/>
      <c r="E67" s="14"/>
      <c r="F67" s="16"/>
      <c r="G67" s="17"/>
      <c r="H67" s="16"/>
    </row>
    <row r="68" spans="1:8" x14ac:dyDescent="0.15">
      <c r="A68" s="13"/>
      <c r="B68" s="14"/>
      <c r="C68" s="14"/>
      <c r="D68" s="15"/>
      <c r="E68" s="14"/>
      <c r="F68" s="16"/>
      <c r="G68" s="17"/>
      <c r="H68" s="16"/>
    </row>
    <row r="1048575" ht="12.75" customHeight="1" x14ac:dyDescent="0.15"/>
    <row r="1048576" ht="12.75" customHeight="1" x14ac:dyDescent="0.15"/>
  </sheetData>
  <autoFilter ref="A3:H144" xr:uid="{00000000-0009-0000-0000-000002000000}"/>
  <mergeCells count="2">
    <mergeCell ref="A1:G1"/>
    <mergeCell ref="A27:H27"/>
  </mergeCells>
  <conditionalFormatting sqref="A4:G64">
    <cfRule type="cellIs" dxfId="91" priority="2" operator="equal">
      <formula>"A"</formula>
    </cfRule>
    <cfRule type="expression" dxfId="90" priority="3">
      <formula>$F4="A"</formula>
    </cfRule>
    <cfRule type="expression" dxfId="89" priority="4">
      <formula>$F4="B"</formula>
    </cfRule>
    <cfRule type="expression" dxfId="88" priority="5">
      <formula>$F4="C"</formula>
    </cfRule>
  </conditionalFormatting>
  <dataValidations count="3">
    <dataValidation type="list" allowBlank="1" sqref="F4:F144" xr:uid="{00000000-0002-0000-0200-000000000000}">
      <formula1>"A,B,C,—"</formula1>
      <formula2>0</formula2>
    </dataValidation>
    <dataValidation type="list" allowBlank="1" sqref="E4:E144" xr:uid="{00000000-0002-0000-0200-000001000000}">
      <formula1>"SDD,Accredito,Bancomat,CC moglie,Contanti,Buoni pasto,Gift card,Altro"</formula1>
      <formula2>0</formula2>
    </dataValidation>
    <dataValidation type="list" allowBlank="1" sqref="H4:H144" xr:uid="{00000000-0002-0000-0200-000002000000}">
      <formula1>"Sì,No"</formula1>
      <formula2>0</formula2>
    </dataValidation>
  </dataValidations>
  <printOptions gridLines="1"/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048575"/>
  <sheetViews>
    <sheetView showGridLines="0" zoomScale="125" zoomScaleNormal="125" workbookViewId="0">
      <pane ySplit="3" topLeftCell="A4" activePane="bottomLeft" state="frozen"/>
      <selection pane="bottomLeft" activeCell="A13" sqref="A13:XFD13"/>
    </sheetView>
  </sheetViews>
  <sheetFormatPr baseColWidth="10" defaultColWidth="9.83203125" defaultRowHeight="15" customHeight="1" x14ac:dyDescent="0.15"/>
  <cols>
    <col min="1" max="1" width="13.6640625" customWidth="1"/>
    <col min="2" max="2" width="15.83203125" customWidth="1"/>
    <col min="3" max="3" width="43.1640625" customWidth="1"/>
    <col min="4" max="5" width="15.83203125" customWidth="1"/>
    <col min="6" max="6" width="9" customWidth="1"/>
    <col min="7" max="7" width="45.5" customWidth="1"/>
    <col min="8" max="8" width="11.33203125" customWidth="1"/>
    <col min="10" max="10" width="20.5" customWidth="1"/>
    <col min="11" max="11" width="18.1640625" customWidth="1"/>
  </cols>
  <sheetData>
    <row r="1" spans="1:11" ht="27.75" customHeight="1" x14ac:dyDescent="0.15">
      <c r="A1" s="2" t="s">
        <v>104</v>
      </c>
      <c r="B1" s="2"/>
      <c r="C1" s="2"/>
      <c r="D1" s="2"/>
      <c r="E1" s="2"/>
      <c r="F1" s="2"/>
      <c r="G1" s="2"/>
    </row>
    <row r="2" spans="1:11" ht="14" x14ac:dyDescent="0.15">
      <c r="F2" s="11"/>
      <c r="G2" s="10"/>
      <c r="J2" s="11" t="s">
        <v>52</v>
      </c>
      <c r="K2" s="10">
        <f>SUMIF($A:$A,"&lt;&gt;",$D:$D)</f>
        <v>26.289999999999964</v>
      </c>
    </row>
    <row r="3" spans="1:11" ht="24" customHeight="1" x14ac:dyDescent="0.15">
      <c r="A3" s="12" t="s">
        <v>53</v>
      </c>
      <c r="B3" s="12" t="s">
        <v>54</v>
      </c>
      <c r="C3" s="12" t="s">
        <v>55</v>
      </c>
      <c r="D3" s="12" t="s">
        <v>56</v>
      </c>
      <c r="E3" s="12" t="s">
        <v>57</v>
      </c>
      <c r="F3" s="12" t="s">
        <v>14</v>
      </c>
      <c r="G3" s="12" t="s">
        <v>58</v>
      </c>
      <c r="H3" s="12" t="s">
        <v>26</v>
      </c>
      <c r="J3" s="11" t="s">
        <v>59</v>
      </c>
      <c r="K3" s="10">
        <f>'01-Jan'!$K$3+$K$2</f>
        <v>116.18000000000008</v>
      </c>
    </row>
    <row r="4" spans="1:11" ht="18" customHeight="1" x14ac:dyDescent="0.15">
      <c r="A4" s="13">
        <v>46054</v>
      </c>
      <c r="B4" s="14" t="s">
        <v>60</v>
      </c>
      <c r="C4" s="14" t="s">
        <v>61</v>
      </c>
      <c r="D4" s="15">
        <v>-742</v>
      </c>
      <c r="E4" s="14" t="s">
        <v>62</v>
      </c>
      <c r="F4" s="16" t="s">
        <v>16</v>
      </c>
      <c r="G4" s="17" t="s">
        <v>63</v>
      </c>
      <c r="H4" s="16"/>
    </row>
    <row r="5" spans="1:11" ht="18" customHeight="1" x14ac:dyDescent="0.15">
      <c r="A5" s="13">
        <v>46054</v>
      </c>
      <c r="B5" s="14" t="s">
        <v>65</v>
      </c>
      <c r="C5" s="14" t="s">
        <v>66</v>
      </c>
      <c r="D5" s="15">
        <v>-38</v>
      </c>
      <c r="E5" s="14" t="s">
        <v>62</v>
      </c>
      <c r="F5" s="16" t="s">
        <v>18</v>
      </c>
      <c r="G5" s="17" t="s">
        <v>67</v>
      </c>
      <c r="H5" s="16"/>
    </row>
    <row r="6" spans="1:11" ht="18" customHeight="1" x14ac:dyDescent="0.15">
      <c r="A6" s="13">
        <v>46055</v>
      </c>
      <c r="B6" s="14" t="s">
        <v>69</v>
      </c>
      <c r="C6" s="14" t="s">
        <v>70</v>
      </c>
      <c r="D6" s="15">
        <v>-6.99</v>
      </c>
      <c r="E6" s="14" t="s">
        <v>62</v>
      </c>
      <c r="F6" s="16" t="s">
        <v>18</v>
      </c>
      <c r="G6" s="17" t="s">
        <v>71</v>
      </c>
      <c r="H6" s="16"/>
    </row>
    <row r="7" spans="1:11" ht="18" customHeight="1" x14ac:dyDescent="0.15">
      <c r="A7" s="13">
        <v>46060</v>
      </c>
      <c r="B7" s="14" t="s">
        <v>76</v>
      </c>
      <c r="C7" s="14" t="s">
        <v>77</v>
      </c>
      <c r="D7" s="15">
        <v>0</v>
      </c>
      <c r="E7" s="14" t="s">
        <v>74</v>
      </c>
      <c r="F7" s="16" t="s">
        <v>18</v>
      </c>
      <c r="G7" s="17"/>
      <c r="H7" s="16"/>
    </row>
    <row r="8" spans="1:11" ht="18" customHeight="1" x14ac:dyDescent="0.15">
      <c r="A8" s="13">
        <v>46068</v>
      </c>
      <c r="B8" s="14" t="s">
        <v>69</v>
      </c>
      <c r="C8" s="14" t="s">
        <v>105</v>
      </c>
      <c r="D8" s="15">
        <v>-120</v>
      </c>
      <c r="E8" s="14" t="s">
        <v>62</v>
      </c>
      <c r="F8" s="16" t="s">
        <v>18</v>
      </c>
      <c r="G8" s="17" t="s">
        <v>106</v>
      </c>
      <c r="H8" s="16"/>
    </row>
    <row r="9" spans="1:11" ht="18" customHeight="1" x14ac:dyDescent="0.15">
      <c r="A9" s="13">
        <v>46068</v>
      </c>
      <c r="B9" s="14" t="s">
        <v>69</v>
      </c>
      <c r="C9" s="14" t="s">
        <v>107</v>
      </c>
      <c r="D9" s="15">
        <v>-20</v>
      </c>
      <c r="E9" s="14" t="s">
        <v>62</v>
      </c>
      <c r="F9" s="16" t="s">
        <v>18</v>
      </c>
      <c r="G9" s="17" t="s">
        <v>106</v>
      </c>
      <c r="H9" s="16"/>
    </row>
    <row r="10" spans="1:11" ht="18" customHeight="1" x14ac:dyDescent="0.15">
      <c r="A10" s="13">
        <v>46062</v>
      </c>
      <c r="B10" s="14" t="s">
        <v>65</v>
      </c>
      <c r="C10" s="14" t="s">
        <v>81</v>
      </c>
      <c r="D10" s="15">
        <v>-6.99</v>
      </c>
      <c r="E10" s="14" t="s">
        <v>82</v>
      </c>
      <c r="F10" s="16" t="s">
        <v>20</v>
      </c>
      <c r="G10" s="17"/>
      <c r="H10" s="16"/>
    </row>
    <row r="11" spans="1:11" ht="18" customHeight="1" x14ac:dyDescent="0.15">
      <c r="A11" s="13">
        <v>46063</v>
      </c>
      <c r="B11" s="14" t="s">
        <v>65</v>
      </c>
      <c r="C11" s="14" t="s">
        <v>83</v>
      </c>
      <c r="D11" s="15">
        <v>-6.99</v>
      </c>
      <c r="E11" s="14" t="s">
        <v>82</v>
      </c>
      <c r="F11" s="16" t="s">
        <v>20</v>
      </c>
      <c r="G11" s="17"/>
      <c r="H11" s="16"/>
    </row>
    <row r="12" spans="1:11" ht="18" customHeight="1" x14ac:dyDescent="0.15">
      <c r="A12" s="13">
        <v>46067</v>
      </c>
      <c r="B12" s="14" t="s">
        <v>76</v>
      </c>
      <c r="C12" s="14" t="s">
        <v>77</v>
      </c>
      <c r="D12" s="15">
        <v>0</v>
      </c>
      <c r="E12" s="14" t="s">
        <v>74</v>
      </c>
      <c r="F12" s="16" t="s">
        <v>18</v>
      </c>
      <c r="G12" s="17"/>
      <c r="H12" s="16"/>
    </row>
    <row r="13" spans="1:11" ht="18" customHeight="1" x14ac:dyDescent="0.15">
      <c r="A13" s="13">
        <v>46068</v>
      </c>
      <c r="B13" s="14" t="s">
        <v>60</v>
      </c>
      <c r="C13" s="14" t="s">
        <v>125</v>
      </c>
      <c r="D13" s="15">
        <v>-250</v>
      </c>
      <c r="E13" s="14" t="s">
        <v>62</v>
      </c>
      <c r="F13" s="16" t="s">
        <v>16</v>
      </c>
      <c r="G13" s="17" t="s">
        <v>126</v>
      </c>
      <c r="H13" s="16"/>
    </row>
    <row r="14" spans="1:11" ht="18" customHeight="1" x14ac:dyDescent="0.15">
      <c r="A14" s="13">
        <v>46068</v>
      </c>
      <c r="B14" s="14" t="s">
        <v>60</v>
      </c>
      <c r="C14" s="14" t="s">
        <v>84</v>
      </c>
      <c r="D14" s="15">
        <v>-218</v>
      </c>
      <c r="E14" s="14" t="s">
        <v>62</v>
      </c>
      <c r="F14" s="16" t="s">
        <v>16</v>
      </c>
      <c r="G14" s="17" t="s">
        <v>85</v>
      </c>
      <c r="H14" s="16"/>
    </row>
    <row r="15" spans="1:11" ht="18" customHeight="1" x14ac:dyDescent="0.15">
      <c r="A15" s="13">
        <v>46068</v>
      </c>
      <c r="B15" s="14" t="s">
        <v>69</v>
      </c>
      <c r="C15" s="14" t="s">
        <v>86</v>
      </c>
      <c r="D15" s="15">
        <v>-31</v>
      </c>
      <c r="E15" s="14" t="s">
        <v>62</v>
      </c>
      <c r="F15" s="16" t="s">
        <v>18</v>
      </c>
      <c r="G15" s="17" t="s">
        <v>71</v>
      </c>
      <c r="H15" s="16"/>
    </row>
    <row r="16" spans="1:11" ht="18" customHeight="1" x14ac:dyDescent="0.15">
      <c r="A16" s="13">
        <v>46068</v>
      </c>
      <c r="B16" s="14" t="s">
        <v>69</v>
      </c>
      <c r="C16" s="14" t="s">
        <v>87</v>
      </c>
      <c r="D16" s="15">
        <v>-6.99</v>
      </c>
      <c r="E16" s="14" t="s">
        <v>62</v>
      </c>
      <c r="F16" s="16" t="s">
        <v>18</v>
      </c>
      <c r="G16" s="17" t="s">
        <v>71</v>
      </c>
      <c r="H16" s="16"/>
    </row>
    <row r="17" spans="1:8" ht="18" customHeight="1" x14ac:dyDescent="0.15">
      <c r="A17" s="13">
        <v>46074</v>
      </c>
      <c r="B17" s="14" t="s">
        <v>76</v>
      </c>
      <c r="C17" s="14" t="s">
        <v>77</v>
      </c>
      <c r="D17" s="15">
        <v>0</v>
      </c>
      <c r="E17" s="14" t="s">
        <v>74</v>
      </c>
      <c r="F17" s="16" t="s">
        <v>18</v>
      </c>
      <c r="G17" s="17"/>
      <c r="H17" s="16"/>
    </row>
    <row r="18" spans="1:8" ht="18" customHeight="1" x14ac:dyDescent="0.15">
      <c r="A18" s="13">
        <v>46079</v>
      </c>
      <c r="B18" s="14" t="s">
        <v>88</v>
      </c>
      <c r="C18" s="14" t="s">
        <v>89</v>
      </c>
      <c r="D18" s="15">
        <v>-125.56</v>
      </c>
      <c r="E18" s="14" t="s">
        <v>82</v>
      </c>
      <c r="F18" s="16" t="s">
        <v>16</v>
      </c>
      <c r="G18" s="17" t="s">
        <v>90</v>
      </c>
      <c r="H18" s="16"/>
    </row>
    <row r="19" spans="1:8" ht="19.5" customHeight="1" x14ac:dyDescent="0.15">
      <c r="A19" s="13">
        <v>46080</v>
      </c>
      <c r="B19" s="14" t="s">
        <v>91</v>
      </c>
      <c r="C19" s="14" t="s">
        <v>92</v>
      </c>
      <c r="D19" s="15">
        <v>2380</v>
      </c>
      <c r="E19" s="14" t="s">
        <v>93</v>
      </c>
      <c r="F19" s="16" t="s">
        <v>94</v>
      </c>
      <c r="G19" s="17" t="s">
        <v>95</v>
      </c>
      <c r="H19" s="16"/>
    </row>
    <row r="20" spans="1:8" ht="18" customHeight="1" x14ac:dyDescent="0.15">
      <c r="A20" s="13">
        <v>46081</v>
      </c>
      <c r="B20" s="14" t="s">
        <v>109</v>
      </c>
      <c r="C20" s="14" t="s">
        <v>110</v>
      </c>
      <c r="D20" s="15">
        <v>-236.19</v>
      </c>
      <c r="E20" s="14" t="s">
        <v>62</v>
      </c>
      <c r="F20" s="16" t="s">
        <v>16</v>
      </c>
      <c r="G20" s="17" t="s">
        <v>111</v>
      </c>
      <c r="H20" s="16"/>
    </row>
    <row r="21" spans="1:8" ht="18" customHeight="1" x14ac:dyDescent="0.15">
      <c r="A21" s="13">
        <v>46081</v>
      </c>
      <c r="B21" s="14" t="s">
        <v>60</v>
      </c>
      <c r="C21" s="14" t="s">
        <v>96</v>
      </c>
      <c r="D21" s="15">
        <v>-545</v>
      </c>
      <c r="E21" s="14" t="s">
        <v>62</v>
      </c>
      <c r="F21" s="16" t="s">
        <v>16</v>
      </c>
      <c r="G21" s="17" t="s">
        <v>97</v>
      </c>
      <c r="H21" s="16"/>
    </row>
    <row r="22" spans="1:8" ht="18" customHeight="1" x14ac:dyDescent="0.15">
      <c r="A22" s="13">
        <v>46081</v>
      </c>
      <c r="B22" s="14" t="s">
        <v>76</v>
      </c>
      <c r="C22" s="14" t="s">
        <v>77</v>
      </c>
      <c r="D22" s="15">
        <v>0</v>
      </c>
      <c r="E22" s="14" t="s">
        <v>101</v>
      </c>
      <c r="F22" s="16" t="s">
        <v>18</v>
      </c>
      <c r="G22" s="17"/>
      <c r="H22" s="16"/>
    </row>
    <row r="23" spans="1:8" ht="18" customHeight="1" x14ac:dyDescent="0.15">
      <c r="A23" s="13">
        <v>46081</v>
      </c>
      <c r="B23" s="14" t="s">
        <v>102</v>
      </c>
      <c r="C23" s="14" t="s">
        <v>103</v>
      </c>
      <c r="D23" s="15">
        <f>-(0)</f>
        <v>0</v>
      </c>
      <c r="E23" s="14" t="s">
        <v>82</v>
      </c>
      <c r="F23" s="16" t="s">
        <v>16</v>
      </c>
      <c r="G23" s="17" t="s">
        <v>112</v>
      </c>
      <c r="H23" s="16"/>
    </row>
    <row r="24" spans="1:8" ht="18" customHeight="1" x14ac:dyDescent="0.15">
      <c r="A24" s="13"/>
      <c r="B24" s="14"/>
      <c r="C24" s="14"/>
      <c r="D24" s="15"/>
      <c r="E24" s="14"/>
      <c r="F24" s="16"/>
      <c r="G24" s="17"/>
      <c r="H24" s="16"/>
    </row>
    <row r="25" spans="1:8" ht="16.5" customHeight="1" x14ac:dyDescent="0.15">
      <c r="A25" s="1"/>
      <c r="B25" s="1"/>
      <c r="C25" s="1"/>
      <c r="D25" s="1"/>
      <c r="E25" s="1"/>
      <c r="F25" s="1"/>
      <c r="G25" s="1"/>
      <c r="H25" s="1"/>
    </row>
    <row r="26" spans="1:8" x14ac:dyDescent="0.2">
      <c r="A26" s="13"/>
      <c r="B26" s="20"/>
      <c r="C26" s="20"/>
      <c r="D26" s="20"/>
      <c r="E26" s="20"/>
      <c r="F26" s="20"/>
      <c r="G26" s="20"/>
      <c r="H26" s="16"/>
    </row>
    <row r="27" spans="1:8" x14ac:dyDescent="0.2">
      <c r="A27" s="13"/>
      <c r="B27" s="14"/>
      <c r="C27" s="14"/>
      <c r="D27" s="20"/>
      <c r="E27" s="20"/>
      <c r="F27" s="20"/>
      <c r="G27" s="20"/>
      <c r="H27" s="16"/>
    </row>
    <row r="28" spans="1:8" x14ac:dyDescent="0.15">
      <c r="A28" s="13"/>
      <c r="B28" s="14"/>
      <c r="C28" s="14"/>
      <c r="D28" s="15"/>
      <c r="E28" s="14"/>
      <c r="F28" s="16"/>
      <c r="G28" s="17"/>
      <c r="H28" s="16"/>
    </row>
    <row r="29" spans="1:8" x14ac:dyDescent="0.15">
      <c r="A29" s="13"/>
      <c r="B29" s="14"/>
      <c r="C29" s="14"/>
      <c r="D29" s="15"/>
      <c r="E29" s="14"/>
      <c r="F29" s="16"/>
      <c r="G29" s="17"/>
      <c r="H29" s="16"/>
    </row>
    <row r="30" spans="1:8" x14ac:dyDescent="0.15">
      <c r="A30" s="13"/>
      <c r="B30" s="14"/>
      <c r="C30" s="14"/>
      <c r="D30" s="15"/>
      <c r="E30" s="14"/>
      <c r="F30" s="16"/>
      <c r="G30" s="17"/>
      <c r="H30" s="16"/>
    </row>
    <row r="31" spans="1:8" x14ac:dyDescent="0.15">
      <c r="A31" s="13"/>
      <c r="B31" s="14"/>
      <c r="C31" s="14"/>
      <c r="D31" s="15"/>
      <c r="E31" s="14"/>
      <c r="F31" s="16"/>
      <c r="G31" s="17"/>
      <c r="H31" s="16"/>
    </row>
    <row r="32" spans="1:8" x14ac:dyDescent="0.15">
      <c r="A32" s="13"/>
      <c r="B32" s="14"/>
      <c r="C32" s="14"/>
      <c r="D32" s="15"/>
      <c r="E32" s="14"/>
      <c r="F32" s="16"/>
      <c r="G32" s="17"/>
      <c r="H32" s="16"/>
    </row>
    <row r="33" spans="1:8" x14ac:dyDescent="0.15">
      <c r="A33" s="13"/>
      <c r="B33" s="14"/>
      <c r="C33" s="14"/>
      <c r="D33" s="15"/>
      <c r="E33" s="14"/>
      <c r="F33" s="16"/>
      <c r="G33" s="17"/>
      <c r="H33" s="16"/>
    </row>
    <row r="34" spans="1:8" x14ac:dyDescent="0.15">
      <c r="A34" s="13"/>
      <c r="B34" s="14"/>
      <c r="C34" s="14"/>
      <c r="D34" s="15"/>
      <c r="E34" s="14"/>
      <c r="F34" s="16"/>
      <c r="G34" s="17"/>
      <c r="H34" s="16"/>
    </row>
    <row r="35" spans="1:8" x14ac:dyDescent="0.15">
      <c r="A35" s="13"/>
      <c r="B35" s="14"/>
      <c r="C35" s="14"/>
      <c r="D35" s="15"/>
      <c r="E35" s="14"/>
      <c r="F35" s="16"/>
      <c r="G35" s="17"/>
      <c r="H35" s="16"/>
    </row>
    <row r="36" spans="1:8" x14ac:dyDescent="0.15">
      <c r="A36" s="13"/>
      <c r="B36" s="14"/>
      <c r="C36" s="14"/>
      <c r="D36" s="15"/>
      <c r="E36" s="14"/>
      <c r="F36" s="16"/>
      <c r="G36" s="17"/>
      <c r="H36" s="16"/>
    </row>
    <row r="37" spans="1:8" x14ac:dyDescent="0.15">
      <c r="A37" s="13"/>
      <c r="B37" s="14"/>
      <c r="C37" s="14"/>
      <c r="D37" s="15"/>
      <c r="E37" s="14"/>
      <c r="F37" s="16"/>
      <c r="G37" s="17"/>
      <c r="H37" s="16"/>
    </row>
    <row r="38" spans="1:8" x14ac:dyDescent="0.15">
      <c r="A38" s="13"/>
      <c r="B38" s="14"/>
      <c r="C38" s="14"/>
      <c r="D38" s="15"/>
      <c r="E38" s="14"/>
      <c r="F38" s="16"/>
      <c r="G38" s="17"/>
      <c r="H38" s="16"/>
    </row>
    <row r="39" spans="1:8" x14ac:dyDescent="0.15">
      <c r="A39" s="13"/>
      <c r="B39" s="14"/>
      <c r="C39" s="14"/>
      <c r="D39" s="15"/>
      <c r="E39" s="14"/>
      <c r="F39" s="16"/>
      <c r="G39" s="17"/>
      <c r="H39" s="16"/>
    </row>
    <row r="40" spans="1:8" x14ac:dyDescent="0.15">
      <c r="A40" s="13"/>
      <c r="B40" s="14"/>
      <c r="C40" s="14"/>
      <c r="D40" s="15"/>
      <c r="E40" s="14"/>
      <c r="F40" s="16"/>
      <c r="G40" s="17"/>
      <c r="H40" s="16"/>
    </row>
    <row r="41" spans="1:8" x14ac:dyDescent="0.15">
      <c r="A41" s="13"/>
      <c r="B41" s="14"/>
      <c r="C41" s="14"/>
      <c r="D41" s="15"/>
      <c r="E41" s="14"/>
      <c r="F41" s="16"/>
      <c r="G41" s="17"/>
      <c r="H41" s="16"/>
    </row>
    <row r="42" spans="1:8" x14ac:dyDescent="0.15">
      <c r="A42" s="13"/>
      <c r="B42" s="14"/>
      <c r="C42" s="14"/>
      <c r="D42" s="15"/>
      <c r="E42" s="14"/>
      <c r="F42" s="16"/>
      <c r="G42" s="17"/>
      <c r="H42" s="16"/>
    </row>
    <row r="43" spans="1:8" x14ac:dyDescent="0.15">
      <c r="A43" s="13"/>
      <c r="B43" s="14"/>
      <c r="C43" s="14"/>
      <c r="D43" s="15"/>
      <c r="E43" s="14"/>
      <c r="F43" s="16"/>
      <c r="G43" s="17"/>
      <c r="H43" s="16"/>
    </row>
    <row r="44" spans="1:8" x14ac:dyDescent="0.15">
      <c r="A44" s="13"/>
      <c r="B44" s="14"/>
      <c r="C44" s="14"/>
      <c r="D44" s="15"/>
      <c r="E44" s="14"/>
      <c r="F44" s="16"/>
      <c r="G44" s="17"/>
      <c r="H44" s="16"/>
    </row>
    <row r="45" spans="1:8" x14ac:dyDescent="0.15">
      <c r="A45" s="13"/>
      <c r="B45" s="14"/>
      <c r="C45" s="14"/>
      <c r="D45" s="15"/>
      <c r="E45" s="14"/>
      <c r="F45" s="16"/>
      <c r="G45" s="17"/>
      <c r="H45" s="16"/>
    </row>
    <row r="46" spans="1:8" x14ac:dyDescent="0.15">
      <c r="A46" s="13"/>
      <c r="B46" s="14"/>
      <c r="C46" s="14"/>
      <c r="D46" s="15"/>
      <c r="E46" s="14"/>
      <c r="F46" s="16"/>
      <c r="G46" s="17"/>
      <c r="H46" s="16"/>
    </row>
    <row r="47" spans="1:8" x14ac:dyDescent="0.15">
      <c r="A47" s="13"/>
      <c r="B47" s="14"/>
      <c r="C47" s="14"/>
      <c r="D47" s="15"/>
      <c r="E47" s="14"/>
      <c r="F47" s="16"/>
      <c r="G47" s="17"/>
      <c r="H47" s="16"/>
    </row>
    <row r="48" spans="1:8" x14ac:dyDescent="0.15">
      <c r="A48" s="13"/>
      <c r="B48" s="14"/>
      <c r="C48" s="14"/>
      <c r="D48" s="15"/>
      <c r="E48" s="14"/>
      <c r="F48" s="16"/>
      <c r="G48" s="17"/>
      <c r="H48" s="16"/>
    </row>
    <row r="49" spans="1:8" x14ac:dyDescent="0.15">
      <c r="A49" s="13"/>
      <c r="B49" s="14"/>
      <c r="C49" s="14"/>
      <c r="D49" s="15"/>
      <c r="E49" s="14"/>
      <c r="F49" s="16"/>
      <c r="G49" s="17"/>
      <c r="H49" s="16"/>
    </row>
    <row r="50" spans="1:8" x14ac:dyDescent="0.15">
      <c r="A50" s="13"/>
      <c r="B50" s="14"/>
      <c r="C50" s="14"/>
      <c r="D50" s="15"/>
      <c r="E50" s="14"/>
      <c r="F50" s="16"/>
      <c r="G50" s="17"/>
      <c r="H50" s="16"/>
    </row>
    <row r="51" spans="1:8" x14ac:dyDescent="0.15">
      <c r="A51" s="13"/>
      <c r="B51" s="14"/>
      <c r="C51" s="14"/>
      <c r="D51" s="15"/>
      <c r="E51" s="14"/>
      <c r="F51" s="16"/>
      <c r="G51" s="17"/>
      <c r="H51" s="16"/>
    </row>
    <row r="52" spans="1:8" x14ac:dyDescent="0.15">
      <c r="A52" s="13"/>
      <c r="B52" s="14"/>
      <c r="C52" s="14"/>
      <c r="D52" s="15"/>
      <c r="E52" s="14"/>
      <c r="F52" s="16"/>
      <c r="G52" s="17"/>
      <c r="H52" s="16"/>
    </row>
    <row r="53" spans="1:8" x14ac:dyDescent="0.15">
      <c r="A53" s="13"/>
      <c r="B53" s="14"/>
      <c r="C53" s="14"/>
      <c r="D53" s="15"/>
      <c r="E53" s="14"/>
      <c r="F53" s="16"/>
      <c r="G53" s="17"/>
      <c r="H53" s="16"/>
    </row>
    <row r="54" spans="1:8" x14ac:dyDescent="0.15">
      <c r="A54" s="13"/>
      <c r="B54" s="14"/>
      <c r="C54" s="14"/>
      <c r="D54" s="15"/>
      <c r="E54" s="14"/>
      <c r="F54" s="16"/>
      <c r="G54" s="17"/>
      <c r="H54" s="16"/>
    </row>
    <row r="55" spans="1:8" x14ac:dyDescent="0.15">
      <c r="A55" s="13"/>
      <c r="B55" s="14"/>
      <c r="C55" s="14"/>
      <c r="D55" s="15"/>
      <c r="E55" s="14"/>
      <c r="F55" s="16"/>
      <c r="G55" s="17"/>
      <c r="H55" s="16"/>
    </row>
    <row r="56" spans="1:8" x14ac:dyDescent="0.15">
      <c r="A56" s="13"/>
      <c r="B56" s="14"/>
      <c r="C56" s="14"/>
      <c r="D56" s="15"/>
      <c r="E56" s="14"/>
      <c r="F56" s="16"/>
      <c r="G56" s="17"/>
      <c r="H56" s="16"/>
    </row>
    <row r="57" spans="1:8" x14ac:dyDescent="0.15">
      <c r="A57" s="13"/>
      <c r="B57" s="14"/>
      <c r="C57" s="14"/>
      <c r="D57" s="15"/>
      <c r="E57" s="14"/>
      <c r="F57" s="16"/>
      <c r="G57" s="17"/>
      <c r="H57" s="16"/>
    </row>
    <row r="58" spans="1:8" x14ac:dyDescent="0.15">
      <c r="A58" s="13"/>
      <c r="B58" s="14"/>
      <c r="C58" s="14"/>
      <c r="D58" s="15"/>
      <c r="E58" s="14"/>
      <c r="F58" s="16"/>
      <c r="G58" s="17"/>
      <c r="H58" s="16"/>
    </row>
    <row r="59" spans="1:8" x14ac:dyDescent="0.15">
      <c r="A59" s="13"/>
      <c r="B59" s="14"/>
      <c r="C59" s="14"/>
      <c r="D59" s="15"/>
      <c r="E59" s="14"/>
      <c r="F59" s="16"/>
      <c r="G59" s="17"/>
      <c r="H59" s="16"/>
    </row>
    <row r="60" spans="1:8" x14ac:dyDescent="0.15">
      <c r="A60" s="13"/>
      <c r="B60" s="14"/>
      <c r="C60" s="14"/>
      <c r="D60" s="15"/>
      <c r="E60" s="14"/>
      <c r="F60" s="16"/>
      <c r="G60" s="17"/>
      <c r="H60" s="16"/>
    </row>
    <row r="61" spans="1:8" x14ac:dyDescent="0.15">
      <c r="A61" s="13"/>
      <c r="B61" s="14"/>
      <c r="C61" s="14"/>
      <c r="D61" s="15"/>
      <c r="E61" s="14"/>
      <c r="F61" s="16"/>
      <c r="G61" s="17"/>
      <c r="H61" s="16"/>
    </row>
    <row r="62" spans="1:8" x14ac:dyDescent="0.15">
      <c r="A62" s="13"/>
      <c r="B62" s="14"/>
      <c r="C62" s="14"/>
      <c r="D62" s="15"/>
      <c r="E62" s="14"/>
      <c r="F62" s="16"/>
      <c r="G62" s="17"/>
      <c r="H62" s="16"/>
    </row>
    <row r="63" spans="1:8" x14ac:dyDescent="0.15">
      <c r="A63" s="13"/>
      <c r="B63" s="14"/>
      <c r="C63" s="14"/>
      <c r="D63" s="15"/>
      <c r="E63" s="14"/>
      <c r="F63" s="16"/>
      <c r="G63" s="17"/>
      <c r="H63" s="16"/>
    </row>
    <row r="64" spans="1:8" x14ac:dyDescent="0.15">
      <c r="A64" s="13"/>
      <c r="B64" s="14"/>
      <c r="C64" s="14"/>
      <c r="D64" s="15"/>
      <c r="E64" s="14"/>
      <c r="F64" s="16"/>
      <c r="G64" s="17"/>
      <c r="H64" s="16"/>
    </row>
    <row r="65" spans="1:8" x14ac:dyDescent="0.15">
      <c r="A65" s="13"/>
      <c r="B65" s="14"/>
      <c r="C65" s="14"/>
      <c r="D65" s="15"/>
      <c r="E65" s="14"/>
      <c r="F65" s="16"/>
      <c r="G65" s="17"/>
      <c r="H65" s="16"/>
    </row>
    <row r="66" spans="1:8" x14ac:dyDescent="0.15">
      <c r="A66" s="13"/>
      <c r="B66" s="14"/>
      <c r="C66" s="14"/>
      <c r="D66" s="15"/>
      <c r="E66" s="14"/>
      <c r="F66" s="16"/>
      <c r="G66" s="17"/>
      <c r="H66" s="16"/>
    </row>
    <row r="67" spans="1:8" x14ac:dyDescent="0.15">
      <c r="A67" s="13"/>
      <c r="B67" s="14"/>
      <c r="C67" s="14"/>
      <c r="D67" s="15"/>
      <c r="E67" s="14"/>
      <c r="F67" s="16"/>
      <c r="G67" s="17"/>
      <c r="H67" s="16"/>
    </row>
    <row r="1048575" ht="12.75" customHeight="1" x14ac:dyDescent="0.15"/>
  </sheetData>
  <autoFilter ref="A3:H144" xr:uid="{00000000-0009-0000-0000-000003000000}"/>
  <mergeCells count="2">
    <mergeCell ref="A1:G1"/>
    <mergeCell ref="A25:H25"/>
  </mergeCells>
  <conditionalFormatting sqref="A4:G12 A14:G20 A22:G64 A21:F21">
    <cfRule type="cellIs" dxfId="87" priority="14" operator="equal">
      <formula>"A"</formula>
    </cfRule>
    <cfRule type="expression" dxfId="86" priority="15">
      <formula>$F4="A"</formula>
    </cfRule>
    <cfRule type="expression" dxfId="85" priority="16">
      <formula>$F4="B"</formula>
    </cfRule>
    <cfRule type="expression" dxfId="84" priority="17">
      <formula>$F4="C"</formula>
    </cfRule>
  </conditionalFormatting>
  <conditionalFormatting sqref="B13:G13">
    <cfRule type="cellIs" dxfId="83" priority="9" operator="equal">
      <formula>"A"</formula>
    </cfRule>
    <cfRule type="expression" dxfId="82" priority="10">
      <formula>$F13="A"</formula>
    </cfRule>
    <cfRule type="expression" dxfId="81" priority="11">
      <formula>$F13="B"</formula>
    </cfRule>
    <cfRule type="expression" dxfId="80" priority="12">
      <formula>$F13="C"</formula>
    </cfRule>
  </conditionalFormatting>
  <conditionalFormatting sqref="A13">
    <cfRule type="cellIs" dxfId="79" priority="5" operator="equal">
      <formula>"A"</formula>
    </cfRule>
    <cfRule type="expression" dxfId="78" priority="6">
      <formula>$F13="A"</formula>
    </cfRule>
    <cfRule type="expression" dxfId="77" priority="7">
      <formula>$F13="B"</formula>
    </cfRule>
    <cfRule type="expression" dxfId="76" priority="8">
      <formula>$F13="C"</formula>
    </cfRule>
  </conditionalFormatting>
  <conditionalFormatting sqref="G21">
    <cfRule type="cellIs" dxfId="75" priority="1" operator="equal">
      <formula>"A"</formula>
    </cfRule>
    <cfRule type="expression" dxfId="74" priority="2">
      <formula>$F21="A"</formula>
    </cfRule>
    <cfRule type="expression" dxfId="73" priority="3">
      <formula>$F21="B"</formula>
    </cfRule>
    <cfRule type="expression" dxfId="72" priority="4">
      <formula>$F21="C"</formula>
    </cfRule>
  </conditionalFormatting>
  <dataValidations count="3">
    <dataValidation type="list" allowBlank="1" sqref="F4:F144" xr:uid="{00000000-0002-0000-0300-000000000000}">
      <formula1>"A,B,C,—"</formula1>
      <formula2>0</formula2>
    </dataValidation>
    <dataValidation type="list" allowBlank="1" sqref="E4:E144" xr:uid="{00000000-0002-0000-0300-000001000000}">
      <formula1>"SDD,Accredito,Bancomat,CC moglie,Contanti,Buoni pasto,Gift card,Altro"</formula1>
      <formula2>0</formula2>
    </dataValidation>
    <dataValidation type="list" allowBlank="1" sqref="H4:H144" xr:uid="{00000000-0002-0000-0300-000002000000}">
      <formula1>"Sì,No"</formula1>
      <formula2>0</formula2>
    </dataValidation>
  </dataValidations>
  <printOptions gridLines="1"/>
  <pageMargins left="0.7" right="0.7" top="0.75" bottom="0.75" header="0.511811023622047" footer="0.511811023622047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048575"/>
  <sheetViews>
    <sheetView showGridLines="0" zoomScale="125" zoomScaleNormal="125" workbookViewId="0">
      <pane ySplit="3" topLeftCell="A4" activePane="bottomLeft" state="frozen"/>
      <selection pane="bottomLeft" activeCell="A21" sqref="A21:XFD21"/>
    </sheetView>
  </sheetViews>
  <sheetFormatPr baseColWidth="10" defaultColWidth="9.83203125" defaultRowHeight="15" customHeight="1" x14ac:dyDescent="0.15"/>
  <cols>
    <col min="1" max="1" width="13.6640625" customWidth="1"/>
    <col min="2" max="2" width="15.83203125" customWidth="1"/>
    <col min="3" max="3" width="43.1640625" customWidth="1"/>
    <col min="4" max="5" width="15.83203125" customWidth="1"/>
    <col min="6" max="6" width="9" customWidth="1"/>
    <col min="7" max="7" width="45.5" customWidth="1"/>
    <col min="8" max="8" width="11.33203125" customWidth="1"/>
    <col min="10" max="10" width="20.5" customWidth="1"/>
    <col min="11" max="11" width="18.1640625" customWidth="1"/>
  </cols>
  <sheetData>
    <row r="1" spans="1:11" ht="27.75" customHeight="1" x14ac:dyDescent="0.15">
      <c r="A1" s="2" t="s">
        <v>113</v>
      </c>
      <c r="B1" s="2"/>
      <c r="C1" s="2"/>
      <c r="D1" s="2"/>
      <c r="E1" s="2"/>
      <c r="F1" s="2"/>
      <c r="G1" s="2"/>
    </row>
    <row r="2" spans="1:11" ht="14" x14ac:dyDescent="0.15">
      <c r="F2" s="11"/>
      <c r="G2" s="10"/>
      <c r="J2" s="11" t="s">
        <v>52</v>
      </c>
      <c r="K2" s="10">
        <f>SUMIF($A:$A,"&lt;&gt;",$D:$D)</f>
        <v>108.48000000000002</v>
      </c>
    </row>
    <row r="3" spans="1:11" ht="24" customHeight="1" x14ac:dyDescent="0.15">
      <c r="A3" s="12" t="s">
        <v>53</v>
      </c>
      <c r="B3" s="12" t="s">
        <v>54</v>
      </c>
      <c r="C3" s="12" t="s">
        <v>55</v>
      </c>
      <c r="D3" s="12" t="s">
        <v>56</v>
      </c>
      <c r="E3" s="12" t="s">
        <v>57</v>
      </c>
      <c r="F3" s="12" t="s">
        <v>14</v>
      </c>
      <c r="G3" s="12" t="s">
        <v>58</v>
      </c>
      <c r="H3" s="12" t="s">
        <v>26</v>
      </c>
      <c r="J3" s="11" t="s">
        <v>59</v>
      </c>
      <c r="K3" s="10">
        <f>'02-Feb'!$K$3+$K$2</f>
        <v>224.66000000000008</v>
      </c>
    </row>
    <row r="4" spans="1:11" ht="18" customHeight="1" x14ac:dyDescent="0.15">
      <c r="A4" s="13">
        <v>46082</v>
      </c>
      <c r="B4" s="14" t="s">
        <v>60</v>
      </c>
      <c r="C4" s="14" t="s">
        <v>61</v>
      </c>
      <c r="D4" s="15">
        <v>-742</v>
      </c>
      <c r="E4" s="14" t="s">
        <v>62</v>
      </c>
      <c r="F4" s="16" t="s">
        <v>16</v>
      </c>
      <c r="G4" s="17" t="s">
        <v>63</v>
      </c>
      <c r="H4" s="16"/>
    </row>
    <row r="5" spans="1:11" ht="18" customHeight="1" x14ac:dyDescent="0.15">
      <c r="A5" s="13">
        <v>46082</v>
      </c>
      <c r="B5" s="14" t="s">
        <v>65</v>
      </c>
      <c r="C5" s="14" t="s">
        <v>66</v>
      </c>
      <c r="D5" s="15">
        <v>-38</v>
      </c>
      <c r="E5" s="14" t="s">
        <v>62</v>
      </c>
      <c r="F5" s="16" t="s">
        <v>18</v>
      </c>
      <c r="G5" s="17" t="s">
        <v>67</v>
      </c>
      <c r="H5" s="16"/>
    </row>
    <row r="6" spans="1:11" ht="18" customHeight="1" x14ac:dyDescent="0.15">
      <c r="A6" s="13">
        <v>46083</v>
      </c>
      <c r="B6" s="14" t="s">
        <v>69</v>
      </c>
      <c r="C6" s="14" t="s">
        <v>70</v>
      </c>
      <c r="D6" s="15">
        <v>-6.99</v>
      </c>
      <c r="E6" s="14" t="s">
        <v>62</v>
      </c>
      <c r="F6" s="16" t="s">
        <v>18</v>
      </c>
      <c r="G6" s="17" t="s">
        <v>71</v>
      </c>
      <c r="H6" s="16"/>
    </row>
    <row r="7" spans="1:11" ht="18" customHeight="1" x14ac:dyDescent="0.15">
      <c r="A7" s="13">
        <v>46088</v>
      </c>
      <c r="B7" s="14" t="s">
        <v>76</v>
      </c>
      <c r="C7" s="14" t="s">
        <v>77</v>
      </c>
      <c r="D7" s="15">
        <v>0</v>
      </c>
      <c r="E7" s="14" t="s">
        <v>74</v>
      </c>
      <c r="F7" s="16" t="s">
        <v>18</v>
      </c>
      <c r="G7" s="17"/>
      <c r="H7" s="16"/>
    </row>
    <row r="8" spans="1:11" ht="18" customHeight="1" x14ac:dyDescent="0.15">
      <c r="A8" s="13">
        <v>46090</v>
      </c>
      <c r="B8" s="14" t="s">
        <v>65</v>
      </c>
      <c r="C8" s="14" t="s">
        <v>81</v>
      </c>
      <c r="D8" s="15">
        <v>-6.99</v>
      </c>
      <c r="E8" s="14" t="s">
        <v>82</v>
      </c>
      <c r="F8" s="16" t="s">
        <v>20</v>
      </c>
      <c r="G8" s="17"/>
      <c r="H8" s="16"/>
    </row>
    <row r="9" spans="1:11" ht="18" customHeight="1" x14ac:dyDescent="0.15">
      <c r="A9" s="13">
        <v>46091</v>
      </c>
      <c r="B9" s="14" t="s">
        <v>65</v>
      </c>
      <c r="C9" s="14" t="s">
        <v>83</v>
      </c>
      <c r="D9" s="15">
        <v>-6.99</v>
      </c>
      <c r="E9" s="14" t="s">
        <v>82</v>
      </c>
      <c r="F9" s="16" t="s">
        <v>20</v>
      </c>
      <c r="G9" s="17"/>
      <c r="H9" s="16"/>
    </row>
    <row r="10" spans="1:11" ht="18" customHeight="1" x14ac:dyDescent="0.15">
      <c r="A10" s="13">
        <v>46095</v>
      </c>
      <c r="B10" s="14" t="s">
        <v>76</v>
      </c>
      <c r="C10" s="14" t="s">
        <v>77</v>
      </c>
      <c r="D10" s="15">
        <v>0</v>
      </c>
      <c r="E10" s="14" t="s">
        <v>74</v>
      </c>
      <c r="F10" s="16" t="s">
        <v>18</v>
      </c>
      <c r="G10" s="17"/>
      <c r="H10" s="16"/>
    </row>
    <row r="11" spans="1:11" ht="18" customHeight="1" x14ac:dyDescent="0.15">
      <c r="A11" s="13">
        <v>46096</v>
      </c>
      <c r="B11" s="14" t="s">
        <v>69</v>
      </c>
      <c r="C11" s="14" t="s">
        <v>105</v>
      </c>
      <c r="D11" s="15">
        <v>-120</v>
      </c>
      <c r="E11" s="14" t="s">
        <v>62</v>
      </c>
      <c r="F11" s="16" t="s">
        <v>18</v>
      </c>
      <c r="G11" s="17" t="s">
        <v>106</v>
      </c>
      <c r="H11" s="16"/>
    </row>
    <row r="12" spans="1:11" ht="18" customHeight="1" x14ac:dyDescent="0.15">
      <c r="A12" s="13">
        <v>46096</v>
      </c>
      <c r="B12" s="14" t="s">
        <v>69</v>
      </c>
      <c r="C12" s="14" t="s">
        <v>107</v>
      </c>
      <c r="D12" s="15">
        <v>-20</v>
      </c>
      <c r="E12" s="14" t="s">
        <v>62</v>
      </c>
      <c r="F12" s="16" t="s">
        <v>18</v>
      </c>
      <c r="G12" s="17" t="s">
        <v>106</v>
      </c>
      <c r="H12" s="16"/>
    </row>
    <row r="13" spans="1:11" ht="18" customHeight="1" x14ac:dyDescent="0.15">
      <c r="A13" s="13">
        <v>46096</v>
      </c>
      <c r="B13" s="14" t="s">
        <v>60</v>
      </c>
      <c r="C13" s="14" t="s">
        <v>84</v>
      </c>
      <c r="D13" s="15">
        <v>-218</v>
      </c>
      <c r="E13" s="14" t="s">
        <v>62</v>
      </c>
      <c r="F13" s="16" t="s">
        <v>16</v>
      </c>
      <c r="G13" s="17" t="s">
        <v>85</v>
      </c>
      <c r="H13" s="16"/>
    </row>
    <row r="14" spans="1:11" ht="18" customHeight="1" x14ac:dyDescent="0.15">
      <c r="A14" s="13">
        <v>46068</v>
      </c>
      <c r="B14" s="14" t="s">
        <v>60</v>
      </c>
      <c r="C14" s="14" t="s">
        <v>125</v>
      </c>
      <c r="D14" s="15">
        <v>-250</v>
      </c>
      <c r="E14" s="14" t="s">
        <v>62</v>
      </c>
      <c r="F14" s="16" t="s">
        <v>16</v>
      </c>
      <c r="G14" s="17" t="s">
        <v>126</v>
      </c>
      <c r="H14" s="16"/>
    </row>
    <row r="15" spans="1:11" ht="18" customHeight="1" x14ac:dyDescent="0.15">
      <c r="A15" s="13">
        <v>46096</v>
      </c>
      <c r="B15" s="14" t="s">
        <v>69</v>
      </c>
      <c r="C15" s="14" t="s">
        <v>86</v>
      </c>
      <c r="D15" s="15">
        <v>-31</v>
      </c>
      <c r="E15" s="14" t="s">
        <v>62</v>
      </c>
      <c r="F15" s="16" t="s">
        <v>18</v>
      </c>
      <c r="G15" s="17" t="s">
        <v>71</v>
      </c>
      <c r="H15" s="16"/>
    </row>
    <row r="16" spans="1:11" ht="18" customHeight="1" x14ac:dyDescent="0.15">
      <c r="A16" s="13">
        <v>46096</v>
      </c>
      <c r="B16" s="14" t="s">
        <v>69</v>
      </c>
      <c r="C16" s="14" t="s">
        <v>87</v>
      </c>
      <c r="D16" s="15">
        <v>-6.99</v>
      </c>
      <c r="E16" s="14" t="s">
        <v>62</v>
      </c>
      <c r="F16" s="16" t="s">
        <v>18</v>
      </c>
      <c r="G16" s="17" t="s">
        <v>71</v>
      </c>
      <c r="H16" s="16"/>
    </row>
    <row r="17" spans="1:8" ht="18" customHeight="1" x14ac:dyDescent="0.15">
      <c r="A17" s="13">
        <v>46102</v>
      </c>
      <c r="B17" s="14" t="s">
        <v>98</v>
      </c>
      <c r="C17" s="14" t="s">
        <v>99</v>
      </c>
      <c r="D17" s="15">
        <v>-154</v>
      </c>
      <c r="E17" s="14" t="s">
        <v>62</v>
      </c>
      <c r="F17" s="16" t="s">
        <v>18</v>
      </c>
      <c r="G17" s="17" t="s">
        <v>100</v>
      </c>
      <c r="H17" s="16"/>
    </row>
    <row r="18" spans="1:8" ht="19.5" customHeight="1" x14ac:dyDescent="0.15">
      <c r="A18" s="13">
        <v>46102</v>
      </c>
      <c r="B18" s="14" t="s">
        <v>76</v>
      </c>
      <c r="C18" s="14" t="s">
        <v>77</v>
      </c>
      <c r="D18" s="15">
        <v>0</v>
      </c>
      <c r="E18" s="14" t="s">
        <v>74</v>
      </c>
      <c r="F18" s="16" t="s">
        <v>18</v>
      </c>
      <c r="G18" s="17"/>
      <c r="H18" s="16"/>
    </row>
    <row r="19" spans="1:8" ht="18" customHeight="1" x14ac:dyDescent="0.15">
      <c r="A19" s="13">
        <v>46107</v>
      </c>
      <c r="B19" s="14" t="s">
        <v>88</v>
      </c>
      <c r="C19" s="14" t="s">
        <v>89</v>
      </c>
      <c r="D19" s="15">
        <v>-125.56</v>
      </c>
      <c r="E19" s="14" t="s">
        <v>82</v>
      </c>
      <c r="F19" s="16" t="s">
        <v>16</v>
      </c>
      <c r="G19" s="17" t="s">
        <v>90</v>
      </c>
      <c r="H19" s="16"/>
    </row>
    <row r="20" spans="1:8" ht="18" customHeight="1" x14ac:dyDescent="0.15">
      <c r="A20" s="13">
        <v>46108</v>
      </c>
      <c r="B20" s="14" t="s">
        <v>91</v>
      </c>
      <c r="C20" s="14" t="s">
        <v>92</v>
      </c>
      <c r="D20" s="15">
        <v>2380</v>
      </c>
      <c r="E20" s="14" t="s">
        <v>93</v>
      </c>
      <c r="F20" s="16" t="s">
        <v>94</v>
      </c>
      <c r="G20" s="17" t="s">
        <v>95</v>
      </c>
      <c r="H20" s="16"/>
    </row>
    <row r="21" spans="1:8" ht="18" customHeight="1" x14ac:dyDescent="0.15">
      <c r="A21" s="13">
        <v>46109</v>
      </c>
      <c r="B21" s="14" t="s">
        <v>60</v>
      </c>
      <c r="C21" s="14" t="s">
        <v>96</v>
      </c>
      <c r="D21" s="15">
        <v>-545</v>
      </c>
      <c r="E21" s="14" t="s">
        <v>62</v>
      </c>
      <c r="F21" s="16" t="s">
        <v>16</v>
      </c>
      <c r="G21" s="17" t="s">
        <v>97</v>
      </c>
      <c r="H21" s="16"/>
    </row>
    <row r="22" spans="1:8" ht="18" customHeight="1" x14ac:dyDescent="0.15">
      <c r="A22" s="13">
        <v>46109</v>
      </c>
      <c r="B22" s="14" t="s">
        <v>76</v>
      </c>
      <c r="C22" s="14" t="s">
        <v>77</v>
      </c>
      <c r="D22" s="15">
        <v>0</v>
      </c>
      <c r="E22" s="14" t="s">
        <v>101</v>
      </c>
      <c r="F22" s="16" t="s">
        <v>18</v>
      </c>
      <c r="G22" s="17"/>
      <c r="H22" s="16"/>
    </row>
    <row r="23" spans="1:8" ht="18" customHeight="1" x14ac:dyDescent="0.15">
      <c r="A23" s="13">
        <v>46112</v>
      </c>
      <c r="B23" s="14" t="s">
        <v>102</v>
      </c>
      <c r="C23" s="14" t="s">
        <v>103</v>
      </c>
      <c r="D23" s="15">
        <f>-(0)</f>
        <v>0</v>
      </c>
      <c r="E23" s="14" t="s">
        <v>82</v>
      </c>
      <c r="F23" s="16" t="s">
        <v>16</v>
      </c>
      <c r="G23" s="17" t="s">
        <v>112</v>
      </c>
      <c r="H23" s="16"/>
    </row>
    <row r="24" spans="1:8" x14ac:dyDescent="0.2">
      <c r="A24" s="13"/>
      <c r="B24" s="18"/>
      <c r="C24" s="18"/>
      <c r="D24" s="18"/>
      <c r="E24" s="18"/>
      <c r="F24" s="18"/>
      <c r="G24" s="19"/>
      <c r="H24" s="16"/>
    </row>
    <row r="25" spans="1:8" ht="16.5" customHeight="1" x14ac:dyDescent="0.15">
      <c r="A25" s="1"/>
      <c r="B25" s="1"/>
      <c r="C25" s="1"/>
      <c r="D25" s="1"/>
      <c r="E25" s="1"/>
      <c r="F25" s="1"/>
      <c r="G25" s="1"/>
      <c r="H25" s="1"/>
    </row>
    <row r="26" spans="1:8" x14ac:dyDescent="0.15">
      <c r="A26" s="13"/>
      <c r="B26" s="14"/>
      <c r="C26" s="14"/>
      <c r="D26" s="15"/>
      <c r="E26" s="14"/>
      <c r="F26" s="16"/>
      <c r="G26" s="17"/>
      <c r="H26" s="16"/>
    </row>
    <row r="27" spans="1:8" x14ac:dyDescent="0.15">
      <c r="A27" s="13"/>
      <c r="B27" s="14"/>
      <c r="C27" s="14"/>
      <c r="D27" s="15"/>
      <c r="E27" s="14"/>
      <c r="F27" s="16"/>
      <c r="G27" s="17"/>
      <c r="H27" s="16"/>
    </row>
    <row r="28" spans="1:8" x14ac:dyDescent="0.15">
      <c r="A28" s="13"/>
      <c r="B28" s="14"/>
      <c r="C28" s="14"/>
      <c r="D28" s="15"/>
      <c r="E28" s="14"/>
      <c r="F28" s="16"/>
      <c r="G28" s="17"/>
      <c r="H28" s="16"/>
    </row>
    <row r="29" spans="1:8" x14ac:dyDescent="0.15">
      <c r="A29" s="13"/>
      <c r="B29" s="14"/>
      <c r="C29" s="14"/>
      <c r="D29" s="15"/>
      <c r="E29" s="14"/>
      <c r="F29" s="16"/>
      <c r="G29" s="17"/>
      <c r="H29" s="16"/>
    </row>
    <row r="30" spans="1:8" x14ac:dyDescent="0.15">
      <c r="A30" s="13"/>
      <c r="B30" s="14"/>
      <c r="C30" s="14"/>
      <c r="D30" s="15"/>
      <c r="E30" s="14"/>
      <c r="F30" s="16"/>
      <c r="G30" s="17"/>
      <c r="H30" s="16"/>
    </row>
    <row r="31" spans="1:8" x14ac:dyDescent="0.15">
      <c r="A31" s="13"/>
      <c r="B31" s="14"/>
      <c r="C31" s="14"/>
      <c r="D31" s="15"/>
      <c r="E31" s="14"/>
      <c r="F31" s="16"/>
      <c r="G31" s="17"/>
      <c r="H31" s="16"/>
    </row>
    <row r="32" spans="1:8" x14ac:dyDescent="0.15">
      <c r="A32" s="13"/>
      <c r="B32" s="14"/>
      <c r="C32" s="14"/>
      <c r="D32" s="15"/>
      <c r="E32" s="14"/>
      <c r="F32" s="16"/>
      <c r="G32" s="17"/>
      <c r="H32" s="16"/>
    </row>
    <row r="33" spans="1:8" x14ac:dyDescent="0.15">
      <c r="A33" s="13"/>
      <c r="B33" s="14"/>
      <c r="C33" s="14"/>
      <c r="D33" s="15"/>
      <c r="E33" s="14"/>
      <c r="F33" s="16"/>
      <c r="G33" s="17"/>
      <c r="H33" s="16"/>
    </row>
    <row r="34" spans="1:8" x14ac:dyDescent="0.15">
      <c r="A34" s="13"/>
      <c r="B34" s="14"/>
      <c r="C34" s="14"/>
      <c r="D34" s="15"/>
      <c r="E34" s="14"/>
      <c r="F34" s="16"/>
      <c r="G34" s="17"/>
      <c r="H34" s="16"/>
    </row>
    <row r="35" spans="1:8" x14ac:dyDescent="0.15">
      <c r="A35" s="13"/>
      <c r="B35" s="14"/>
      <c r="C35" s="14"/>
      <c r="D35" s="15"/>
      <c r="E35" s="14"/>
      <c r="F35" s="16"/>
      <c r="G35" s="17"/>
      <c r="H35" s="16"/>
    </row>
    <row r="36" spans="1:8" x14ac:dyDescent="0.15">
      <c r="A36" s="13"/>
      <c r="B36" s="14"/>
      <c r="C36" s="14"/>
      <c r="D36" s="15"/>
      <c r="E36" s="14"/>
      <c r="F36" s="16"/>
      <c r="G36" s="17"/>
      <c r="H36" s="16"/>
    </row>
    <row r="37" spans="1:8" x14ac:dyDescent="0.15">
      <c r="A37" s="13"/>
      <c r="B37" s="14"/>
      <c r="C37" s="14"/>
      <c r="D37" s="15"/>
      <c r="E37" s="14"/>
      <c r="F37" s="16"/>
      <c r="G37" s="17"/>
      <c r="H37" s="16"/>
    </row>
    <row r="38" spans="1:8" x14ac:dyDescent="0.15">
      <c r="A38" s="13"/>
      <c r="B38" s="14"/>
      <c r="C38" s="14"/>
      <c r="D38" s="15"/>
      <c r="E38" s="14"/>
      <c r="F38" s="16"/>
      <c r="G38" s="17"/>
      <c r="H38" s="16"/>
    </row>
    <row r="39" spans="1:8" x14ac:dyDescent="0.15">
      <c r="A39" s="13"/>
      <c r="B39" s="14"/>
      <c r="C39" s="14"/>
      <c r="D39" s="15"/>
      <c r="E39" s="14"/>
      <c r="F39" s="16"/>
      <c r="G39" s="17"/>
      <c r="H39" s="16"/>
    </row>
    <row r="40" spans="1:8" x14ac:dyDescent="0.15">
      <c r="A40" s="13"/>
      <c r="B40" s="14"/>
      <c r="C40" s="14"/>
      <c r="D40" s="15"/>
      <c r="E40" s="14"/>
      <c r="F40" s="16"/>
      <c r="G40" s="17"/>
      <c r="H40" s="16"/>
    </row>
    <row r="41" spans="1:8" x14ac:dyDescent="0.15">
      <c r="A41" s="13"/>
      <c r="B41" s="14"/>
      <c r="C41" s="14"/>
      <c r="D41" s="15"/>
      <c r="E41" s="14"/>
      <c r="F41" s="16"/>
      <c r="G41" s="17"/>
      <c r="H41" s="16"/>
    </row>
    <row r="42" spans="1:8" x14ac:dyDescent="0.15">
      <c r="A42" s="13"/>
      <c r="B42" s="14"/>
      <c r="C42" s="14"/>
      <c r="D42" s="15"/>
      <c r="E42" s="14"/>
      <c r="F42" s="16"/>
      <c r="G42" s="17"/>
      <c r="H42" s="16"/>
    </row>
    <row r="43" spans="1:8" x14ac:dyDescent="0.15">
      <c r="A43" s="13"/>
      <c r="B43" s="14"/>
      <c r="C43" s="14"/>
      <c r="D43" s="15"/>
      <c r="E43" s="14"/>
      <c r="F43" s="16"/>
      <c r="G43" s="17"/>
      <c r="H43" s="16"/>
    </row>
    <row r="44" spans="1:8" x14ac:dyDescent="0.15">
      <c r="A44" s="13"/>
      <c r="B44" s="14"/>
      <c r="C44" s="14"/>
      <c r="D44" s="15"/>
      <c r="E44" s="14"/>
      <c r="F44" s="16"/>
      <c r="G44" s="17"/>
      <c r="H44" s="16"/>
    </row>
    <row r="45" spans="1:8" x14ac:dyDescent="0.15">
      <c r="A45" s="13"/>
      <c r="B45" s="14"/>
      <c r="C45" s="14"/>
      <c r="D45" s="15"/>
      <c r="E45" s="14"/>
      <c r="F45" s="16"/>
      <c r="G45" s="17"/>
      <c r="H45" s="16"/>
    </row>
    <row r="46" spans="1:8" x14ac:dyDescent="0.15">
      <c r="A46" s="13"/>
      <c r="B46" s="14"/>
      <c r="C46" s="14"/>
      <c r="D46" s="15"/>
      <c r="E46" s="14"/>
      <c r="F46" s="16"/>
      <c r="G46" s="17"/>
      <c r="H46" s="16"/>
    </row>
    <row r="47" spans="1:8" x14ac:dyDescent="0.15">
      <c r="A47" s="13"/>
      <c r="B47" s="14"/>
      <c r="C47" s="14"/>
      <c r="D47" s="15"/>
      <c r="E47" s="14"/>
      <c r="F47" s="16"/>
      <c r="G47" s="17"/>
      <c r="H47" s="16"/>
    </row>
    <row r="48" spans="1:8" x14ac:dyDescent="0.15">
      <c r="A48" s="13"/>
      <c r="B48" s="14"/>
      <c r="C48" s="14"/>
      <c r="D48" s="15"/>
      <c r="E48" s="14"/>
      <c r="F48" s="16"/>
      <c r="G48" s="17"/>
      <c r="H48" s="16"/>
    </row>
    <row r="49" spans="1:8" x14ac:dyDescent="0.15">
      <c r="A49" s="13"/>
      <c r="B49" s="14"/>
      <c r="C49" s="14"/>
      <c r="D49" s="15"/>
      <c r="E49" s="14"/>
      <c r="F49" s="16"/>
      <c r="G49" s="17"/>
      <c r="H49" s="16"/>
    </row>
    <row r="50" spans="1:8" x14ac:dyDescent="0.15">
      <c r="A50" s="13"/>
      <c r="B50" s="14"/>
      <c r="C50" s="14"/>
      <c r="D50" s="15"/>
      <c r="E50" s="14"/>
      <c r="F50" s="16"/>
      <c r="G50" s="17"/>
      <c r="H50" s="16"/>
    </row>
    <row r="51" spans="1:8" x14ac:dyDescent="0.15">
      <c r="A51" s="13"/>
      <c r="B51" s="14"/>
      <c r="C51" s="14"/>
      <c r="D51" s="15"/>
      <c r="E51" s="14"/>
      <c r="F51" s="16"/>
      <c r="G51" s="17"/>
      <c r="H51" s="16"/>
    </row>
    <row r="52" spans="1:8" x14ac:dyDescent="0.15">
      <c r="A52" s="13"/>
      <c r="B52" s="14"/>
      <c r="C52" s="14"/>
      <c r="D52" s="15"/>
      <c r="E52" s="14"/>
      <c r="F52" s="16"/>
      <c r="G52" s="17"/>
      <c r="H52" s="16"/>
    </row>
    <row r="53" spans="1:8" x14ac:dyDescent="0.15">
      <c r="A53" s="13"/>
      <c r="B53" s="14"/>
      <c r="C53" s="14"/>
      <c r="D53" s="15"/>
      <c r="E53" s="14"/>
      <c r="F53" s="16"/>
      <c r="G53" s="17"/>
      <c r="H53" s="16"/>
    </row>
    <row r="54" spans="1:8" x14ac:dyDescent="0.15">
      <c r="A54" s="13"/>
      <c r="B54" s="14"/>
      <c r="C54" s="14"/>
      <c r="D54" s="15"/>
      <c r="E54" s="14"/>
      <c r="F54" s="16"/>
      <c r="G54" s="17"/>
      <c r="H54" s="16"/>
    </row>
    <row r="55" spans="1:8" x14ac:dyDescent="0.15">
      <c r="A55" s="13"/>
      <c r="B55" s="14"/>
      <c r="C55" s="14"/>
      <c r="D55" s="15"/>
      <c r="E55" s="14"/>
      <c r="F55" s="16"/>
      <c r="G55" s="17"/>
      <c r="H55" s="16"/>
    </row>
    <row r="56" spans="1:8" x14ac:dyDescent="0.15">
      <c r="A56" s="13"/>
      <c r="B56" s="14"/>
      <c r="C56" s="14"/>
      <c r="D56" s="15"/>
      <c r="E56" s="14"/>
      <c r="F56" s="16"/>
      <c r="G56" s="17"/>
      <c r="H56" s="16"/>
    </row>
    <row r="57" spans="1:8" x14ac:dyDescent="0.15">
      <c r="A57" s="13"/>
      <c r="B57" s="14"/>
      <c r="C57" s="14"/>
      <c r="D57" s="15"/>
      <c r="E57" s="14"/>
      <c r="F57" s="16"/>
      <c r="G57" s="17"/>
      <c r="H57" s="16"/>
    </row>
    <row r="58" spans="1:8" x14ac:dyDescent="0.15">
      <c r="A58" s="13"/>
      <c r="B58" s="14"/>
      <c r="C58" s="14"/>
      <c r="D58" s="15"/>
      <c r="E58" s="14"/>
      <c r="F58" s="16"/>
      <c r="G58" s="17"/>
      <c r="H58" s="16"/>
    </row>
    <row r="59" spans="1:8" x14ac:dyDescent="0.15">
      <c r="A59" s="13"/>
      <c r="B59" s="14"/>
      <c r="C59" s="14"/>
      <c r="D59" s="15"/>
      <c r="E59" s="14"/>
      <c r="F59" s="16"/>
      <c r="G59" s="17"/>
      <c r="H59" s="16"/>
    </row>
    <row r="60" spans="1:8" x14ac:dyDescent="0.15">
      <c r="A60" s="13"/>
      <c r="B60" s="14"/>
      <c r="C60" s="14"/>
      <c r="D60" s="15"/>
      <c r="E60" s="14"/>
      <c r="F60" s="16"/>
      <c r="G60" s="17"/>
      <c r="H60" s="16"/>
    </row>
    <row r="61" spans="1:8" x14ac:dyDescent="0.15">
      <c r="A61" s="13"/>
      <c r="B61" s="14"/>
      <c r="C61" s="14"/>
      <c r="D61" s="15"/>
      <c r="E61" s="14"/>
      <c r="F61" s="16"/>
      <c r="G61" s="17"/>
      <c r="H61" s="16"/>
    </row>
    <row r="62" spans="1:8" x14ac:dyDescent="0.15">
      <c r="A62" s="13"/>
      <c r="B62" s="14"/>
      <c r="C62" s="14"/>
      <c r="D62" s="15"/>
      <c r="E62" s="14"/>
      <c r="F62" s="16"/>
      <c r="G62" s="17"/>
      <c r="H62" s="16"/>
    </row>
    <row r="63" spans="1:8" x14ac:dyDescent="0.15">
      <c r="A63" s="13"/>
      <c r="B63" s="14"/>
      <c r="C63" s="14"/>
      <c r="D63" s="15"/>
      <c r="E63" s="14"/>
      <c r="F63" s="16"/>
      <c r="G63" s="17"/>
      <c r="H63" s="16"/>
    </row>
    <row r="64" spans="1:8" x14ac:dyDescent="0.15">
      <c r="A64" s="13"/>
      <c r="B64" s="14"/>
      <c r="C64" s="14"/>
      <c r="D64" s="15"/>
      <c r="E64" s="14"/>
      <c r="F64" s="16"/>
      <c r="G64" s="17"/>
      <c r="H64" s="16"/>
    </row>
    <row r="65" spans="1:8" x14ac:dyDescent="0.15">
      <c r="A65" s="13"/>
      <c r="B65" s="14"/>
      <c r="C65" s="14"/>
      <c r="D65" s="15"/>
      <c r="E65" s="14"/>
      <c r="F65" s="16"/>
      <c r="G65" s="17"/>
      <c r="H65" s="16"/>
    </row>
    <row r="66" spans="1:8" x14ac:dyDescent="0.15">
      <c r="A66" s="13"/>
      <c r="B66" s="14"/>
      <c r="C66" s="14"/>
      <c r="D66" s="15"/>
      <c r="E66" s="14"/>
      <c r="F66" s="16"/>
      <c r="G66" s="17"/>
      <c r="H66" s="16"/>
    </row>
    <row r="67" spans="1:8" x14ac:dyDescent="0.15">
      <c r="A67" s="13"/>
      <c r="B67" s="14"/>
      <c r="C67" s="14"/>
      <c r="D67" s="15"/>
      <c r="E67" s="14"/>
      <c r="F67" s="16"/>
      <c r="G67" s="17"/>
      <c r="H67" s="16"/>
    </row>
    <row r="1048575" ht="12.75" customHeight="1" x14ac:dyDescent="0.15"/>
  </sheetData>
  <autoFilter ref="A3:H144" xr:uid="{00000000-0009-0000-0000-000004000000}"/>
  <mergeCells count="2">
    <mergeCell ref="A1:G1"/>
    <mergeCell ref="A25:H25"/>
  </mergeCells>
  <conditionalFormatting sqref="A4:G13 A15:G64">
    <cfRule type="cellIs" dxfId="71" priority="10" operator="equal">
      <formula>"A"</formula>
    </cfRule>
    <cfRule type="expression" dxfId="70" priority="11">
      <formula>$F4="A"</formula>
    </cfRule>
    <cfRule type="expression" dxfId="69" priority="12">
      <formula>$F4="B"</formula>
    </cfRule>
    <cfRule type="expression" dxfId="68" priority="13">
      <formula>$F4="C"</formula>
    </cfRule>
  </conditionalFormatting>
  <conditionalFormatting sqref="B14:G14">
    <cfRule type="cellIs" dxfId="67" priority="5" operator="equal">
      <formula>"A"</formula>
    </cfRule>
    <cfRule type="expression" dxfId="66" priority="6">
      <formula>$F14="A"</formula>
    </cfRule>
    <cfRule type="expression" dxfId="65" priority="7">
      <formula>$F14="B"</formula>
    </cfRule>
    <cfRule type="expression" dxfId="64" priority="8">
      <formula>$F14="C"</formula>
    </cfRule>
  </conditionalFormatting>
  <conditionalFormatting sqref="A14">
    <cfRule type="cellIs" dxfId="63" priority="1" operator="equal">
      <formula>"A"</formula>
    </cfRule>
    <cfRule type="expression" dxfId="62" priority="2">
      <formula>$F14="A"</formula>
    </cfRule>
    <cfRule type="expression" dxfId="61" priority="3">
      <formula>$F14="B"</formula>
    </cfRule>
    <cfRule type="expression" dxfId="60" priority="4">
      <formula>$F14="C"</formula>
    </cfRule>
  </conditionalFormatting>
  <dataValidations count="3">
    <dataValidation type="list" allowBlank="1" sqref="F4:F14 F15:F144" xr:uid="{00000000-0002-0000-0400-000000000000}">
      <formula1>"A,B,C,—"</formula1>
      <formula2>0</formula2>
    </dataValidation>
    <dataValidation type="list" allowBlank="1" sqref="E4:E14 E15:E144" xr:uid="{00000000-0002-0000-0400-000001000000}">
      <formula1>"SDD,Accredito,Bancomat,CC moglie,Contanti,Buoni pasto,Gift card,Altro"</formula1>
      <formula2>0</formula2>
    </dataValidation>
    <dataValidation type="list" allowBlank="1" sqref="H4:H14 H15:H144" xr:uid="{00000000-0002-0000-0400-000002000000}">
      <formula1>"Sì,No"</formula1>
      <formula2>0</formula2>
    </dataValidation>
  </dataValidations>
  <printOptions gridLines="1"/>
  <pageMargins left="0.7" right="0.7" top="0.75" bottom="0.75" header="0.511811023622047" footer="0.511811023622047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1048575"/>
  <sheetViews>
    <sheetView showGridLines="0" zoomScale="125" zoomScaleNormal="125" workbookViewId="0">
      <pane ySplit="3" topLeftCell="A4" activePane="bottomLeft" state="frozen"/>
      <selection pane="bottomLeft" activeCell="D21" sqref="D21"/>
    </sheetView>
  </sheetViews>
  <sheetFormatPr baseColWidth="10" defaultColWidth="9.83203125" defaultRowHeight="15" customHeight="1" x14ac:dyDescent="0.15"/>
  <cols>
    <col min="1" max="1" width="13.6640625" customWidth="1"/>
    <col min="2" max="2" width="15.83203125" customWidth="1"/>
    <col min="3" max="3" width="43.1640625" customWidth="1"/>
    <col min="4" max="5" width="15.83203125" customWidth="1"/>
    <col min="6" max="6" width="9" customWidth="1"/>
    <col min="7" max="7" width="45.5" customWidth="1"/>
    <col min="8" max="8" width="11.33203125" customWidth="1"/>
    <col min="10" max="10" width="20.5" customWidth="1"/>
    <col min="11" max="11" width="18.1640625" customWidth="1"/>
  </cols>
  <sheetData>
    <row r="1" spans="1:11" ht="27.75" customHeight="1" x14ac:dyDescent="0.15">
      <c r="A1" s="2" t="s">
        <v>114</v>
      </c>
      <c r="B1" s="2"/>
      <c r="C1" s="2"/>
      <c r="D1" s="2"/>
      <c r="E1" s="2"/>
      <c r="F1" s="2"/>
      <c r="G1" s="2"/>
    </row>
    <row r="2" spans="1:11" ht="14" x14ac:dyDescent="0.15">
      <c r="F2" s="11"/>
      <c r="G2" s="10"/>
      <c r="J2" s="11" t="s">
        <v>52</v>
      </c>
      <c r="K2" s="10">
        <f>SUMIF($A:$A,"&lt;&gt;",$D:$D)</f>
        <v>172.48000000000002</v>
      </c>
    </row>
    <row r="3" spans="1:11" ht="24" customHeight="1" x14ac:dyDescent="0.15">
      <c r="A3" s="12" t="s">
        <v>53</v>
      </c>
      <c r="B3" s="12" t="s">
        <v>54</v>
      </c>
      <c r="C3" s="12" t="s">
        <v>55</v>
      </c>
      <c r="D3" s="12" t="s">
        <v>56</v>
      </c>
      <c r="E3" s="12" t="s">
        <v>57</v>
      </c>
      <c r="F3" s="12" t="s">
        <v>14</v>
      </c>
      <c r="G3" s="12" t="s">
        <v>58</v>
      </c>
      <c r="H3" s="12" t="s">
        <v>26</v>
      </c>
      <c r="J3" s="11" t="s">
        <v>59</v>
      </c>
      <c r="K3" s="10">
        <f>'03-Mar'!$K$3+$K$2</f>
        <v>397.1400000000001</v>
      </c>
    </row>
    <row r="4" spans="1:11" ht="18" customHeight="1" x14ac:dyDescent="0.15">
      <c r="A4" s="13">
        <v>46113</v>
      </c>
      <c r="B4" s="14" t="s">
        <v>60</v>
      </c>
      <c r="C4" s="14" t="s">
        <v>61</v>
      </c>
      <c r="D4" s="15">
        <v>-742</v>
      </c>
      <c r="E4" s="14" t="s">
        <v>62</v>
      </c>
      <c r="F4" s="16" t="s">
        <v>16</v>
      </c>
      <c r="G4" s="17" t="s">
        <v>63</v>
      </c>
      <c r="H4" s="16"/>
    </row>
    <row r="5" spans="1:11" ht="18" customHeight="1" x14ac:dyDescent="0.15">
      <c r="A5" s="13">
        <v>46113</v>
      </c>
      <c r="B5" s="14" t="s">
        <v>65</v>
      </c>
      <c r="C5" s="14" t="s">
        <v>66</v>
      </c>
      <c r="D5" s="15">
        <v>-38</v>
      </c>
      <c r="E5" s="14" t="s">
        <v>62</v>
      </c>
      <c r="F5" s="16" t="s">
        <v>18</v>
      </c>
      <c r="G5" s="17" t="s">
        <v>67</v>
      </c>
      <c r="H5" s="16"/>
    </row>
    <row r="6" spans="1:11" ht="18" customHeight="1" x14ac:dyDescent="0.15">
      <c r="A6" s="13">
        <v>46114</v>
      </c>
      <c r="B6" s="14" t="s">
        <v>69</v>
      </c>
      <c r="C6" s="14" t="s">
        <v>70</v>
      </c>
      <c r="D6" s="15">
        <v>-6.99</v>
      </c>
      <c r="E6" s="14" t="s">
        <v>62</v>
      </c>
      <c r="F6" s="16" t="s">
        <v>18</v>
      </c>
      <c r="G6" s="17" t="s">
        <v>71</v>
      </c>
      <c r="H6" s="16"/>
    </row>
    <row r="7" spans="1:11" ht="18" customHeight="1" x14ac:dyDescent="0.15">
      <c r="A7" s="13">
        <v>46116</v>
      </c>
      <c r="B7" s="14" t="s">
        <v>76</v>
      </c>
      <c r="C7" s="14" t="s">
        <v>77</v>
      </c>
      <c r="D7" s="15">
        <v>0</v>
      </c>
      <c r="E7" s="14" t="s">
        <v>74</v>
      </c>
      <c r="F7" s="16" t="s">
        <v>18</v>
      </c>
      <c r="G7" s="17"/>
      <c r="H7" s="16"/>
    </row>
    <row r="8" spans="1:11" ht="18" customHeight="1" x14ac:dyDescent="0.15">
      <c r="A8" s="13">
        <v>46121</v>
      </c>
      <c r="B8" s="14" t="s">
        <v>65</v>
      </c>
      <c r="C8" s="14" t="s">
        <v>81</v>
      </c>
      <c r="D8" s="15">
        <v>-6.99</v>
      </c>
      <c r="E8" s="14" t="s">
        <v>82</v>
      </c>
      <c r="F8" s="16" t="s">
        <v>20</v>
      </c>
      <c r="G8" s="17"/>
      <c r="H8" s="16"/>
    </row>
    <row r="9" spans="1:11" ht="18" customHeight="1" x14ac:dyDescent="0.15">
      <c r="A9" s="13">
        <v>46122</v>
      </c>
      <c r="B9" s="14" t="s">
        <v>65</v>
      </c>
      <c r="C9" s="14" t="s">
        <v>83</v>
      </c>
      <c r="D9" s="15">
        <v>-6.99</v>
      </c>
      <c r="E9" s="14" t="s">
        <v>82</v>
      </c>
      <c r="F9" s="16" t="s">
        <v>20</v>
      </c>
      <c r="G9" s="17"/>
      <c r="H9" s="16"/>
    </row>
    <row r="10" spans="1:11" ht="18" customHeight="1" x14ac:dyDescent="0.15">
      <c r="A10" s="13">
        <v>46123</v>
      </c>
      <c r="B10" s="14" t="s">
        <v>76</v>
      </c>
      <c r="C10" s="14" t="s">
        <v>77</v>
      </c>
      <c r="D10" s="15">
        <v>0</v>
      </c>
      <c r="E10" s="14" t="s">
        <v>74</v>
      </c>
      <c r="F10" s="16" t="s">
        <v>18</v>
      </c>
      <c r="G10" s="17"/>
      <c r="H10" s="16"/>
    </row>
    <row r="11" spans="1:11" ht="18" customHeight="1" x14ac:dyDescent="0.15">
      <c r="A11" s="13">
        <v>46127</v>
      </c>
      <c r="B11" s="14" t="s">
        <v>60</v>
      </c>
      <c r="C11" s="14" t="s">
        <v>84</v>
      </c>
      <c r="D11" s="15">
        <v>-218</v>
      </c>
      <c r="E11" s="14" t="s">
        <v>62</v>
      </c>
      <c r="F11" s="16" t="s">
        <v>16</v>
      </c>
      <c r="G11" s="17" t="s">
        <v>85</v>
      </c>
      <c r="H11" s="16"/>
    </row>
    <row r="12" spans="1:11" ht="18" customHeight="1" x14ac:dyDescent="0.15">
      <c r="A12" s="13">
        <v>46127</v>
      </c>
      <c r="B12" s="14" t="s">
        <v>69</v>
      </c>
      <c r="C12" s="14" t="s">
        <v>86</v>
      </c>
      <c r="D12" s="15">
        <v>-31</v>
      </c>
      <c r="E12" s="14" t="s">
        <v>62</v>
      </c>
      <c r="F12" s="16" t="s">
        <v>18</v>
      </c>
      <c r="G12" s="17" t="s">
        <v>71</v>
      </c>
      <c r="H12" s="16"/>
    </row>
    <row r="13" spans="1:11" ht="18" customHeight="1" x14ac:dyDescent="0.15">
      <c r="A13" s="13">
        <v>46127</v>
      </c>
      <c r="B13" s="14" t="s">
        <v>69</v>
      </c>
      <c r="C13" s="14" t="s">
        <v>87</v>
      </c>
      <c r="D13" s="15">
        <v>-6.99</v>
      </c>
      <c r="E13" s="14" t="s">
        <v>62</v>
      </c>
      <c r="F13" s="16" t="s">
        <v>18</v>
      </c>
      <c r="G13" s="17" t="s">
        <v>71</v>
      </c>
      <c r="H13" s="16"/>
    </row>
    <row r="14" spans="1:11" ht="18" customHeight="1" x14ac:dyDescent="0.15">
      <c r="A14" s="13">
        <v>46127</v>
      </c>
      <c r="B14" s="14" t="s">
        <v>69</v>
      </c>
      <c r="C14" s="14" t="s">
        <v>105</v>
      </c>
      <c r="D14" s="15">
        <v>-120</v>
      </c>
      <c r="E14" s="14" t="s">
        <v>62</v>
      </c>
      <c r="F14" s="16" t="s">
        <v>18</v>
      </c>
      <c r="G14" s="17" t="s">
        <v>106</v>
      </c>
      <c r="H14" s="16"/>
    </row>
    <row r="15" spans="1:11" ht="18" customHeight="1" x14ac:dyDescent="0.15">
      <c r="A15" s="13">
        <v>46127</v>
      </c>
      <c r="B15" s="14" t="s">
        <v>69</v>
      </c>
      <c r="C15" s="14" t="s">
        <v>107</v>
      </c>
      <c r="D15" s="15">
        <v>-20</v>
      </c>
      <c r="E15" s="14" t="s">
        <v>62</v>
      </c>
      <c r="F15" s="16" t="s">
        <v>18</v>
      </c>
      <c r="G15" s="17" t="s">
        <v>106</v>
      </c>
      <c r="H15" s="16"/>
    </row>
    <row r="16" spans="1:11" ht="18" customHeight="1" x14ac:dyDescent="0.15">
      <c r="A16" s="13">
        <v>46130</v>
      </c>
      <c r="B16" s="14" t="s">
        <v>76</v>
      </c>
      <c r="C16" s="14" t="s">
        <v>77</v>
      </c>
      <c r="D16" s="15">
        <v>-170</v>
      </c>
      <c r="E16" s="14" t="s">
        <v>82</v>
      </c>
      <c r="F16" s="16" t="s">
        <v>18</v>
      </c>
      <c r="G16" s="17"/>
      <c r="H16" s="16"/>
    </row>
    <row r="17" spans="1:8" ht="19.5" customHeight="1" x14ac:dyDescent="0.15">
      <c r="A17" s="13">
        <v>46137</v>
      </c>
      <c r="B17" s="14" t="s">
        <v>76</v>
      </c>
      <c r="C17" s="14" t="s">
        <v>77</v>
      </c>
      <c r="D17" s="15">
        <v>-170</v>
      </c>
      <c r="E17" s="14" t="s">
        <v>82</v>
      </c>
      <c r="F17" s="16" t="s">
        <v>18</v>
      </c>
      <c r="G17" s="17"/>
      <c r="H17" s="16"/>
    </row>
    <row r="18" spans="1:8" ht="18" customHeight="1" x14ac:dyDescent="0.15">
      <c r="A18" s="13">
        <v>46138</v>
      </c>
      <c r="B18" s="14" t="s">
        <v>88</v>
      </c>
      <c r="C18" s="14" t="s">
        <v>89</v>
      </c>
      <c r="D18" s="15">
        <v>-125.56</v>
      </c>
      <c r="E18" s="14" t="s">
        <v>82</v>
      </c>
      <c r="F18" s="16" t="s">
        <v>16</v>
      </c>
      <c r="G18" s="17" t="s">
        <v>90</v>
      </c>
      <c r="H18" s="16"/>
    </row>
    <row r="19" spans="1:8" ht="18" customHeight="1" x14ac:dyDescent="0.15">
      <c r="A19" s="13">
        <v>46139</v>
      </c>
      <c r="B19" s="14" t="s">
        <v>91</v>
      </c>
      <c r="C19" s="14" t="s">
        <v>92</v>
      </c>
      <c r="D19" s="15">
        <v>2380</v>
      </c>
      <c r="E19" s="14" t="s">
        <v>93</v>
      </c>
      <c r="F19" s="16" t="s">
        <v>94</v>
      </c>
      <c r="G19" s="17" t="s">
        <v>95</v>
      </c>
      <c r="H19" s="16"/>
    </row>
    <row r="20" spans="1:8" ht="18" customHeight="1" x14ac:dyDescent="0.15">
      <c r="A20" s="13">
        <v>46140</v>
      </c>
      <c r="B20" s="14" t="s">
        <v>60</v>
      </c>
      <c r="C20" s="14" t="s">
        <v>96</v>
      </c>
      <c r="D20" s="15">
        <v>-545</v>
      </c>
      <c r="E20" s="14" t="s">
        <v>62</v>
      </c>
      <c r="F20" s="16" t="s">
        <v>16</v>
      </c>
      <c r="G20" s="17" t="s">
        <v>97</v>
      </c>
      <c r="H20" s="16"/>
    </row>
    <row r="21" spans="1:8" ht="18" customHeight="1" x14ac:dyDescent="0.15">
      <c r="A21" s="13">
        <v>46142</v>
      </c>
      <c r="B21" s="14" t="s">
        <v>102</v>
      </c>
      <c r="C21" s="14" t="s">
        <v>103</v>
      </c>
      <c r="D21" s="15">
        <f>-(0)</f>
        <v>0</v>
      </c>
      <c r="E21" s="14" t="s">
        <v>82</v>
      </c>
      <c r="F21" s="16" t="s">
        <v>16</v>
      </c>
      <c r="G21" s="17" t="s">
        <v>112</v>
      </c>
      <c r="H21" s="16"/>
    </row>
    <row r="22" spans="1:8" ht="18" customHeight="1" x14ac:dyDescent="0.15">
      <c r="A22" s="13"/>
      <c r="B22" s="14"/>
      <c r="C22" s="14"/>
      <c r="D22" s="15"/>
      <c r="E22" s="14"/>
      <c r="F22" s="16"/>
      <c r="G22" s="17"/>
      <c r="H22" s="16"/>
    </row>
    <row r="23" spans="1:8" ht="16.5" customHeight="1" x14ac:dyDescent="0.15">
      <c r="A23" s="1"/>
      <c r="B23" s="1"/>
      <c r="C23" s="1"/>
      <c r="D23" s="1"/>
      <c r="E23" s="1"/>
      <c r="F23" s="1"/>
      <c r="G23" s="1"/>
      <c r="H23" s="1"/>
    </row>
    <row r="24" spans="1:8" x14ac:dyDescent="0.2">
      <c r="A24" s="13"/>
      <c r="B24" s="20"/>
      <c r="C24" s="20"/>
      <c r="D24" s="20"/>
      <c r="E24" s="20"/>
      <c r="F24" s="20"/>
      <c r="G24" s="20"/>
      <c r="H24" s="16"/>
    </row>
    <row r="25" spans="1:8" x14ac:dyDescent="0.2">
      <c r="A25" s="13"/>
      <c r="B25" s="14"/>
      <c r="C25" s="14"/>
      <c r="D25" s="20"/>
      <c r="E25" s="20"/>
      <c r="F25" s="20"/>
      <c r="G25" s="20"/>
      <c r="H25" s="16"/>
    </row>
    <row r="26" spans="1:8" x14ac:dyDescent="0.15">
      <c r="A26" s="13"/>
      <c r="B26" s="14"/>
      <c r="C26" s="14"/>
      <c r="D26" s="15"/>
      <c r="E26" s="14"/>
      <c r="F26" s="16"/>
      <c r="G26" s="17"/>
      <c r="H26" s="16"/>
    </row>
    <row r="27" spans="1:8" x14ac:dyDescent="0.15">
      <c r="A27" s="13"/>
      <c r="B27" s="14"/>
      <c r="C27" s="14"/>
      <c r="D27" s="15"/>
      <c r="E27" s="14"/>
      <c r="F27" s="16"/>
      <c r="G27" s="17"/>
      <c r="H27" s="16"/>
    </row>
    <row r="28" spans="1:8" x14ac:dyDescent="0.15">
      <c r="A28" s="13"/>
      <c r="B28" s="14"/>
      <c r="C28" s="14"/>
      <c r="D28" s="15"/>
      <c r="E28" s="14"/>
      <c r="F28" s="16"/>
      <c r="G28" s="17"/>
      <c r="H28" s="16"/>
    </row>
    <row r="29" spans="1:8" x14ac:dyDescent="0.15">
      <c r="A29" s="13"/>
      <c r="B29" s="14"/>
      <c r="C29" s="14"/>
      <c r="D29" s="15"/>
      <c r="E29" s="14"/>
      <c r="F29" s="16"/>
      <c r="G29" s="17"/>
      <c r="H29" s="16"/>
    </row>
    <row r="30" spans="1:8" x14ac:dyDescent="0.15">
      <c r="A30" s="13"/>
      <c r="B30" s="14"/>
      <c r="C30" s="14"/>
      <c r="D30" s="15"/>
      <c r="E30" s="14"/>
      <c r="F30" s="16"/>
      <c r="G30" s="17"/>
      <c r="H30" s="16"/>
    </row>
    <row r="31" spans="1:8" x14ac:dyDescent="0.15">
      <c r="A31" s="13"/>
      <c r="B31" s="14"/>
      <c r="C31" s="14"/>
      <c r="D31" s="15"/>
      <c r="E31" s="14"/>
      <c r="F31" s="16"/>
      <c r="G31" s="17"/>
      <c r="H31" s="16"/>
    </row>
    <row r="32" spans="1:8" x14ac:dyDescent="0.15">
      <c r="A32" s="13"/>
      <c r="B32" s="14"/>
      <c r="C32" s="14"/>
      <c r="D32" s="15"/>
      <c r="E32" s="14"/>
      <c r="F32" s="16"/>
      <c r="G32" s="17"/>
      <c r="H32" s="16"/>
    </row>
    <row r="33" spans="1:8" x14ac:dyDescent="0.15">
      <c r="A33" s="13"/>
      <c r="B33" s="14"/>
      <c r="C33" s="14"/>
      <c r="D33" s="15"/>
      <c r="E33" s="14"/>
      <c r="F33" s="16"/>
      <c r="G33" s="17"/>
      <c r="H33" s="16"/>
    </row>
    <row r="34" spans="1:8" x14ac:dyDescent="0.15">
      <c r="A34" s="13"/>
      <c r="B34" s="14"/>
      <c r="C34" s="14"/>
      <c r="D34" s="15"/>
      <c r="E34" s="14"/>
      <c r="F34" s="16"/>
      <c r="G34" s="17"/>
      <c r="H34" s="16"/>
    </row>
    <row r="35" spans="1:8" x14ac:dyDescent="0.15">
      <c r="A35" s="13"/>
      <c r="B35" s="14"/>
      <c r="C35" s="14"/>
      <c r="D35" s="15"/>
      <c r="E35" s="14"/>
      <c r="F35" s="16"/>
      <c r="G35" s="17"/>
      <c r="H35" s="16"/>
    </row>
    <row r="36" spans="1:8" x14ac:dyDescent="0.15">
      <c r="A36" s="13"/>
      <c r="B36" s="14"/>
      <c r="C36" s="14"/>
      <c r="D36" s="15"/>
      <c r="E36" s="14"/>
      <c r="F36" s="16"/>
      <c r="G36" s="17"/>
      <c r="H36" s="16"/>
    </row>
    <row r="37" spans="1:8" x14ac:dyDescent="0.15">
      <c r="A37" s="13"/>
      <c r="B37" s="14"/>
      <c r="C37" s="14"/>
      <c r="D37" s="15"/>
      <c r="E37" s="14"/>
      <c r="F37" s="16"/>
      <c r="G37" s="17"/>
      <c r="H37" s="16"/>
    </row>
    <row r="38" spans="1:8" x14ac:dyDescent="0.15">
      <c r="A38" s="13"/>
      <c r="B38" s="14"/>
      <c r="C38" s="14"/>
      <c r="D38" s="15"/>
      <c r="E38" s="14"/>
      <c r="F38" s="16"/>
      <c r="G38" s="17"/>
      <c r="H38" s="16"/>
    </row>
    <row r="39" spans="1:8" x14ac:dyDescent="0.15">
      <c r="A39" s="13"/>
      <c r="B39" s="14"/>
      <c r="C39" s="14"/>
      <c r="D39" s="15"/>
      <c r="E39" s="14"/>
      <c r="F39" s="16"/>
      <c r="G39" s="17"/>
      <c r="H39" s="16"/>
    </row>
    <row r="40" spans="1:8" x14ac:dyDescent="0.15">
      <c r="A40" s="13"/>
      <c r="B40" s="14"/>
      <c r="C40" s="14"/>
      <c r="D40" s="15"/>
      <c r="E40" s="14"/>
      <c r="F40" s="16"/>
      <c r="G40" s="17"/>
      <c r="H40" s="16"/>
    </row>
    <row r="41" spans="1:8" x14ac:dyDescent="0.15">
      <c r="A41" s="13"/>
      <c r="B41" s="14"/>
      <c r="C41" s="14"/>
      <c r="D41" s="15"/>
      <c r="E41" s="14"/>
      <c r="F41" s="16"/>
      <c r="G41" s="17"/>
      <c r="H41" s="16"/>
    </row>
    <row r="42" spans="1:8" x14ac:dyDescent="0.15">
      <c r="A42" s="13"/>
      <c r="B42" s="14"/>
      <c r="C42" s="14"/>
      <c r="D42" s="15"/>
      <c r="E42" s="14"/>
      <c r="F42" s="16"/>
      <c r="G42" s="17"/>
      <c r="H42" s="16"/>
    </row>
    <row r="43" spans="1:8" x14ac:dyDescent="0.15">
      <c r="A43" s="13"/>
      <c r="B43" s="14"/>
      <c r="C43" s="14"/>
      <c r="D43" s="15"/>
      <c r="E43" s="14"/>
      <c r="F43" s="16"/>
      <c r="G43" s="17"/>
      <c r="H43" s="16"/>
    </row>
    <row r="44" spans="1:8" x14ac:dyDescent="0.15">
      <c r="A44" s="13"/>
      <c r="B44" s="14"/>
      <c r="C44" s="14"/>
      <c r="D44" s="15"/>
      <c r="E44" s="14"/>
      <c r="F44" s="16"/>
      <c r="G44" s="17"/>
      <c r="H44" s="16"/>
    </row>
    <row r="45" spans="1:8" x14ac:dyDescent="0.15">
      <c r="A45" s="13"/>
      <c r="B45" s="14"/>
      <c r="C45" s="14"/>
      <c r="D45" s="15"/>
      <c r="E45" s="14"/>
      <c r="F45" s="16"/>
      <c r="G45" s="17"/>
      <c r="H45" s="16"/>
    </row>
    <row r="46" spans="1:8" x14ac:dyDescent="0.15">
      <c r="A46" s="13"/>
      <c r="B46" s="14"/>
      <c r="C46" s="14"/>
      <c r="D46" s="15"/>
      <c r="E46" s="14"/>
      <c r="F46" s="16"/>
      <c r="G46" s="17"/>
      <c r="H46" s="16"/>
    </row>
    <row r="47" spans="1:8" x14ac:dyDescent="0.15">
      <c r="A47" s="13"/>
      <c r="B47" s="14"/>
      <c r="C47" s="14"/>
      <c r="D47" s="15"/>
      <c r="E47" s="14"/>
      <c r="F47" s="16"/>
      <c r="G47" s="17"/>
      <c r="H47" s="16"/>
    </row>
    <row r="48" spans="1:8" x14ac:dyDescent="0.15">
      <c r="A48" s="13"/>
      <c r="B48" s="14"/>
      <c r="C48" s="14"/>
      <c r="D48" s="15"/>
      <c r="E48" s="14"/>
      <c r="F48" s="16"/>
      <c r="G48" s="17"/>
      <c r="H48" s="16"/>
    </row>
    <row r="49" spans="1:8" x14ac:dyDescent="0.15">
      <c r="A49" s="13"/>
      <c r="B49" s="14"/>
      <c r="C49" s="14"/>
      <c r="D49" s="15"/>
      <c r="E49" s="14"/>
      <c r="F49" s="16"/>
      <c r="G49" s="17"/>
      <c r="H49" s="16"/>
    </row>
    <row r="50" spans="1:8" x14ac:dyDescent="0.15">
      <c r="A50" s="13"/>
      <c r="B50" s="14"/>
      <c r="C50" s="14"/>
      <c r="D50" s="15"/>
      <c r="E50" s="14"/>
      <c r="F50" s="16"/>
      <c r="G50" s="17"/>
      <c r="H50" s="16"/>
    </row>
    <row r="51" spans="1:8" x14ac:dyDescent="0.15">
      <c r="A51" s="13"/>
      <c r="B51" s="14"/>
      <c r="C51" s="14"/>
      <c r="D51" s="15"/>
      <c r="E51" s="14"/>
      <c r="F51" s="16"/>
      <c r="G51" s="17"/>
      <c r="H51" s="16"/>
    </row>
    <row r="52" spans="1:8" x14ac:dyDescent="0.15">
      <c r="A52" s="13"/>
      <c r="B52" s="14"/>
      <c r="C52" s="14"/>
      <c r="D52" s="15"/>
      <c r="E52" s="14"/>
      <c r="F52" s="16"/>
      <c r="G52" s="17"/>
      <c r="H52" s="16"/>
    </row>
    <row r="53" spans="1:8" x14ac:dyDescent="0.15">
      <c r="A53" s="13"/>
      <c r="B53" s="14"/>
      <c r="C53" s="14"/>
      <c r="D53" s="15"/>
      <c r="E53" s="14"/>
      <c r="F53" s="16"/>
      <c r="G53" s="17"/>
      <c r="H53" s="16"/>
    </row>
    <row r="54" spans="1:8" x14ac:dyDescent="0.15">
      <c r="A54" s="13"/>
      <c r="B54" s="14"/>
      <c r="C54" s="14"/>
      <c r="D54" s="15"/>
      <c r="E54" s="14"/>
      <c r="F54" s="16"/>
      <c r="G54" s="17"/>
      <c r="H54" s="16"/>
    </row>
    <row r="55" spans="1:8" x14ac:dyDescent="0.15">
      <c r="A55" s="13"/>
      <c r="B55" s="14"/>
      <c r="C55" s="14"/>
      <c r="D55" s="15"/>
      <c r="E55" s="14"/>
      <c r="F55" s="16"/>
      <c r="G55" s="17"/>
      <c r="H55" s="16"/>
    </row>
    <row r="56" spans="1:8" x14ac:dyDescent="0.15">
      <c r="A56" s="13"/>
      <c r="B56" s="14"/>
      <c r="C56" s="14"/>
      <c r="D56" s="15"/>
      <c r="E56" s="14"/>
      <c r="F56" s="16"/>
      <c r="G56" s="17"/>
      <c r="H56" s="16"/>
    </row>
    <row r="57" spans="1:8" x14ac:dyDescent="0.15">
      <c r="A57" s="13"/>
      <c r="B57" s="14"/>
      <c r="C57" s="14"/>
      <c r="D57" s="15"/>
      <c r="E57" s="14"/>
      <c r="F57" s="16"/>
      <c r="G57" s="17"/>
      <c r="H57" s="16"/>
    </row>
    <row r="58" spans="1:8" x14ac:dyDescent="0.15">
      <c r="A58" s="13"/>
      <c r="B58" s="14"/>
      <c r="C58" s="14"/>
      <c r="D58" s="15"/>
      <c r="E58" s="14"/>
      <c r="F58" s="16"/>
      <c r="G58" s="17"/>
      <c r="H58" s="16"/>
    </row>
    <row r="59" spans="1:8" x14ac:dyDescent="0.15">
      <c r="A59" s="13"/>
      <c r="B59" s="14"/>
      <c r="C59" s="14"/>
      <c r="D59" s="15"/>
      <c r="E59" s="14"/>
      <c r="F59" s="16"/>
      <c r="G59" s="17"/>
      <c r="H59" s="16"/>
    </row>
    <row r="60" spans="1:8" x14ac:dyDescent="0.15">
      <c r="A60" s="13"/>
      <c r="B60" s="14"/>
      <c r="C60" s="14"/>
      <c r="D60" s="15"/>
      <c r="E60" s="14"/>
      <c r="F60" s="16"/>
      <c r="G60" s="17"/>
      <c r="H60" s="16"/>
    </row>
    <row r="61" spans="1:8" x14ac:dyDescent="0.15">
      <c r="A61" s="13"/>
      <c r="B61" s="14"/>
      <c r="C61" s="14"/>
      <c r="D61" s="15"/>
      <c r="E61" s="14"/>
      <c r="F61" s="16"/>
      <c r="G61" s="17"/>
      <c r="H61" s="16"/>
    </row>
    <row r="62" spans="1:8" x14ac:dyDescent="0.15">
      <c r="A62" s="13"/>
      <c r="B62" s="14"/>
      <c r="C62" s="14"/>
      <c r="D62" s="15"/>
      <c r="E62" s="14"/>
      <c r="F62" s="16"/>
      <c r="G62" s="17"/>
      <c r="H62" s="16"/>
    </row>
    <row r="63" spans="1:8" x14ac:dyDescent="0.15">
      <c r="A63" s="13"/>
      <c r="B63" s="14"/>
      <c r="C63" s="14"/>
      <c r="D63" s="15"/>
      <c r="E63" s="14"/>
      <c r="F63" s="16"/>
      <c r="G63" s="17"/>
      <c r="H63" s="16"/>
    </row>
    <row r="64" spans="1:8" x14ac:dyDescent="0.15">
      <c r="A64" s="13"/>
      <c r="B64" s="14"/>
      <c r="C64" s="14"/>
      <c r="D64" s="15"/>
      <c r="E64" s="14"/>
      <c r="F64" s="16"/>
      <c r="G64" s="17"/>
      <c r="H64" s="16"/>
    </row>
    <row r="65" spans="1:8" x14ac:dyDescent="0.15">
      <c r="A65" s="13"/>
      <c r="B65" s="14"/>
      <c r="C65" s="14"/>
      <c r="D65" s="15"/>
      <c r="E65" s="14"/>
      <c r="F65" s="16"/>
      <c r="G65" s="17"/>
      <c r="H65" s="16"/>
    </row>
    <row r="66" spans="1:8" x14ac:dyDescent="0.15">
      <c r="A66" s="13"/>
      <c r="B66" s="14"/>
      <c r="C66" s="14"/>
      <c r="D66" s="15"/>
      <c r="E66" s="14"/>
      <c r="F66" s="16"/>
      <c r="G66" s="17"/>
      <c r="H66" s="16"/>
    </row>
    <row r="1048574" ht="12.75" customHeight="1" x14ac:dyDescent="0.15"/>
    <row r="1048575" ht="12.75" customHeight="1" x14ac:dyDescent="0.15"/>
  </sheetData>
  <autoFilter ref="A3:H143" xr:uid="{00000000-0009-0000-0000-000005000000}"/>
  <mergeCells count="2">
    <mergeCell ref="A1:G1"/>
    <mergeCell ref="A23:H23"/>
  </mergeCells>
  <conditionalFormatting sqref="A21:G63 A4:G19">
    <cfRule type="cellIs" dxfId="59" priority="6" operator="equal">
      <formula>"A"</formula>
    </cfRule>
    <cfRule type="expression" dxfId="58" priority="7">
      <formula>$F4="A"</formula>
    </cfRule>
    <cfRule type="expression" dxfId="57" priority="8">
      <formula>$F4="B"</formula>
    </cfRule>
    <cfRule type="expression" dxfId="56" priority="9">
      <formula>$F4="C"</formula>
    </cfRule>
  </conditionalFormatting>
  <conditionalFormatting sqref="A20:G20">
    <cfRule type="cellIs" dxfId="55" priority="1" operator="equal">
      <formula>"A"</formula>
    </cfRule>
    <cfRule type="expression" dxfId="54" priority="2">
      <formula>$F20="A"</formula>
    </cfRule>
    <cfRule type="expression" dxfId="53" priority="3">
      <formula>$F20="B"</formula>
    </cfRule>
    <cfRule type="expression" dxfId="52" priority="4">
      <formula>$F20="C"</formula>
    </cfRule>
  </conditionalFormatting>
  <dataValidations count="3">
    <dataValidation type="list" allowBlank="1" sqref="F4:F143" xr:uid="{00000000-0002-0000-0500-000000000000}">
      <formula1>"A,B,C,—"</formula1>
      <formula2>0</formula2>
    </dataValidation>
    <dataValidation type="list" allowBlank="1" sqref="E4:E143" xr:uid="{00000000-0002-0000-0500-000001000000}">
      <formula1>"SDD,Accredito,Bancomat,CC moglie,Contanti,Buoni pasto,Gift card,Altro"</formula1>
      <formula2>0</formula2>
    </dataValidation>
    <dataValidation type="list" allowBlank="1" sqref="H4:H143" xr:uid="{00000000-0002-0000-0500-000002000000}">
      <formula1>"Sì,No"</formula1>
      <formula2>0</formula2>
    </dataValidation>
  </dataValidations>
  <printOptions gridLines="1"/>
  <pageMargins left="0.7" right="0.7" top="0.75" bottom="0.75" header="0.511811023622047" footer="0.511811023622047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048575"/>
  <sheetViews>
    <sheetView showGridLines="0" zoomScale="125" zoomScaleNormal="125" workbookViewId="0">
      <pane ySplit="3" topLeftCell="A4" activePane="bottomLeft" state="frozen"/>
      <selection pane="bottomLeft" activeCell="A21" sqref="A21:XFD21"/>
    </sheetView>
  </sheetViews>
  <sheetFormatPr baseColWidth="10" defaultColWidth="9.83203125" defaultRowHeight="15" customHeight="1" x14ac:dyDescent="0.15"/>
  <cols>
    <col min="1" max="1" width="13.6640625" customWidth="1"/>
    <col min="2" max="2" width="15.83203125" customWidth="1"/>
    <col min="3" max="3" width="43.1640625" customWidth="1"/>
    <col min="4" max="5" width="15.83203125" customWidth="1"/>
    <col min="6" max="6" width="9" customWidth="1"/>
    <col min="7" max="7" width="45.5" customWidth="1"/>
    <col min="8" max="8" width="11.33203125" customWidth="1"/>
    <col min="10" max="10" width="20.5" customWidth="1"/>
    <col min="11" max="11" width="18.1640625" customWidth="1"/>
  </cols>
  <sheetData>
    <row r="1" spans="1:11" ht="27.75" customHeight="1" x14ac:dyDescent="0.15">
      <c r="A1" s="2" t="s">
        <v>115</v>
      </c>
      <c r="B1" s="2"/>
      <c r="C1" s="2"/>
      <c r="D1" s="2"/>
      <c r="E1" s="2"/>
      <c r="F1" s="2"/>
      <c r="G1" s="2"/>
    </row>
    <row r="2" spans="1:11" ht="14" x14ac:dyDescent="0.15">
      <c r="F2" s="11"/>
      <c r="G2" s="10"/>
      <c r="J2" s="11" t="s">
        <v>52</v>
      </c>
      <c r="K2" s="10">
        <f>SUMIF($A:$A,"&lt;&gt;",$D:$D)</f>
        <v>122.29000000000002</v>
      </c>
    </row>
    <row r="3" spans="1:11" ht="24" customHeight="1" x14ac:dyDescent="0.15">
      <c r="A3" s="12" t="s">
        <v>53</v>
      </c>
      <c r="B3" s="12" t="s">
        <v>54</v>
      </c>
      <c r="C3" s="12" t="s">
        <v>55</v>
      </c>
      <c r="D3" s="12" t="s">
        <v>56</v>
      </c>
      <c r="E3" s="12" t="s">
        <v>57</v>
      </c>
      <c r="F3" s="12" t="s">
        <v>14</v>
      </c>
      <c r="G3" s="12" t="s">
        <v>58</v>
      </c>
      <c r="H3" s="12" t="s">
        <v>26</v>
      </c>
      <c r="J3" s="11" t="s">
        <v>59</v>
      </c>
      <c r="K3" s="10">
        <f>'04-Apr'!$K$3+$K$2</f>
        <v>519.43000000000006</v>
      </c>
    </row>
    <row r="4" spans="1:11" ht="18" customHeight="1" x14ac:dyDescent="0.15">
      <c r="A4" s="13">
        <v>46143</v>
      </c>
      <c r="B4" s="14" t="s">
        <v>60</v>
      </c>
      <c r="C4" s="14" t="s">
        <v>61</v>
      </c>
      <c r="D4" s="15">
        <v>-742</v>
      </c>
      <c r="E4" s="14" t="s">
        <v>62</v>
      </c>
      <c r="F4" s="16" t="s">
        <v>16</v>
      </c>
      <c r="G4" s="17" t="s">
        <v>63</v>
      </c>
      <c r="H4" s="16"/>
    </row>
    <row r="5" spans="1:11" ht="18" customHeight="1" x14ac:dyDescent="0.15">
      <c r="A5" s="13">
        <v>46143</v>
      </c>
      <c r="B5" s="14" t="s">
        <v>65</v>
      </c>
      <c r="C5" s="14" t="s">
        <v>66</v>
      </c>
      <c r="D5" s="15">
        <v>-38</v>
      </c>
      <c r="E5" s="14" t="s">
        <v>62</v>
      </c>
      <c r="F5" s="16" t="s">
        <v>18</v>
      </c>
      <c r="G5" s="17" t="s">
        <v>67</v>
      </c>
      <c r="H5" s="16"/>
    </row>
    <row r="6" spans="1:11" ht="18" customHeight="1" x14ac:dyDescent="0.15">
      <c r="A6" s="13">
        <v>46144</v>
      </c>
      <c r="B6" s="14" t="s">
        <v>76</v>
      </c>
      <c r="C6" s="14" t="s">
        <v>77</v>
      </c>
      <c r="D6" s="15">
        <v>0</v>
      </c>
      <c r="E6" s="14" t="s">
        <v>101</v>
      </c>
      <c r="F6" s="16" t="s">
        <v>18</v>
      </c>
      <c r="G6" s="17"/>
      <c r="H6" s="16"/>
    </row>
    <row r="7" spans="1:11" ht="18" customHeight="1" x14ac:dyDescent="0.15">
      <c r="A7" s="13">
        <v>46144</v>
      </c>
      <c r="B7" s="14" t="s">
        <v>69</v>
      </c>
      <c r="C7" s="14" t="s">
        <v>70</v>
      </c>
      <c r="D7" s="15">
        <v>-6.99</v>
      </c>
      <c r="E7" s="14" t="s">
        <v>62</v>
      </c>
      <c r="F7" s="16" t="s">
        <v>18</v>
      </c>
      <c r="G7" s="17" t="s">
        <v>71</v>
      </c>
      <c r="H7" s="16"/>
    </row>
    <row r="8" spans="1:11" ht="18" customHeight="1" x14ac:dyDescent="0.15">
      <c r="A8" s="13">
        <v>46151</v>
      </c>
      <c r="B8" s="14" t="s">
        <v>76</v>
      </c>
      <c r="C8" s="14" t="s">
        <v>77</v>
      </c>
      <c r="D8" s="15">
        <v>0</v>
      </c>
      <c r="E8" s="14" t="s">
        <v>74</v>
      </c>
      <c r="F8" s="16" t="s">
        <v>18</v>
      </c>
      <c r="G8" s="17"/>
      <c r="H8" s="16"/>
    </row>
    <row r="9" spans="1:11" ht="18" customHeight="1" x14ac:dyDescent="0.15">
      <c r="A9" s="13">
        <v>46151</v>
      </c>
      <c r="B9" s="14" t="s">
        <v>65</v>
      </c>
      <c r="C9" s="14" t="s">
        <v>81</v>
      </c>
      <c r="D9" s="15">
        <v>-6.99</v>
      </c>
      <c r="E9" s="14" t="s">
        <v>82</v>
      </c>
      <c r="F9" s="16" t="s">
        <v>20</v>
      </c>
      <c r="G9" s="17"/>
      <c r="H9" s="16"/>
    </row>
    <row r="10" spans="1:11" ht="18" customHeight="1" x14ac:dyDescent="0.15">
      <c r="A10" s="13">
        <v>46152</v>
      </c>
      <c r="B10" s="14" t="s">
        <v>65</v>
      </c>
      <c r="C10" s="14" t="s">
        <v>83</v>
      </c>
      <c r="D10" s="15">
        <v>-6.99</v>
      </c>
      <c r="E10" s="14" t="s">
        <v>82</v>
      </c>
      <c r="F10" s="16" t="s">
        <v>20</v>
      </c>
      <c r="G10" s="17"/>
      <c r="H10" s="16"/>
    </row>
    <row r="11" spans="1:11" ht="18" customHeight="1" x14ac:dyDescent="0.15">
      <c r="A11" s="13">
        <v>46157</v>
      </c>
      <c r="B11" s="14" t="s">
        <v>60</v>
      </c>
      <c r="C11" s="14" t="s">
        <v>84</v>
      </c>
      <c r="D11" s="15">
        <v>-218</v>
      </c>
      <c r="E11" s="14" t="s">
        <v>62</v>
      </c>
      <c r="F11" s="16" t="s">
        <v>16</v>
      </c>
      <c r="G11" s="17" t="s">
        <v>85</v>
      </c>
      <c r="H11" s="16"/>
    </row>
    <row r="12" spans="1:11" ht="18" customHeight="1" x14ac:dyDescent="0.15">
      <c r="A12" s="13">
        <v>46157</v>
      </c>
      <c r="B12" s="14" t="s">
        <v>69</v>
      </c>
      <c r="C12" s="14" t="s">
        <v>86</v>
      </c>
      <c r="D12" s="15">
        <v>-31</v>
      </c>
      <c r="E12" s="14" t="s">
        <v>62</v>
      </c>
      <c r="F12" s="16" t="s">
        <v>18</v>
      </c>
      <c r="G12" s="17" t="s">
        <v>71</v>
      </c>
      <c r="H12" s="16"/>
    </row>
    <row r="13" spans="1:11" ht="18" customHeight="1" x14ac:dyDescent="0.15">
      <c r="A13" s="13">
        <v>46157</v>
      </c>
      <c r="B13" s="14" t="s">
        <v>69</v>
      </c>
      <c r="C13" s="14" t="s">
        <v>87</v>
      </c>
      <c r="D13" s="15">
        <v>-6.99</v>
      </c>
      <c r="E13" s="14" t="s">
        <v>62</v>
      </c>
      <c r="F13" s="16" t="s">
        <v>18</v>
      </c>
      <c r="G13" s="17" t="s">
        <v>71</v>
      </c>
      <c r="H13" s="16"/>
    </row>
    <row r="14" spans="1:11" ht="18" customHeight="1" x14ac:dyDescent="0.15">
      <c r="A14" s="13">
        <v>46157</v>
      </c>
      <c r="B14" s="14" t="s">
        <v>69</v>
      </c>
      <c r="C14" s="14" t="s">
        <v>105</v>
      </c>
      <c r="D14" s="15">
        <v>-120</v>
      </c>
      <c r="E14" s="14" t="s">
        <v>62</v>
      </c>
      <c r="F14" s="16" t="s">
        <v>18</v>
      </c>
      <c r="G14" s="17" t="s">
        <v>106</v>
      </c>
      <c r="H14" s="16"/>
    </row>
    <row r="15" spans="1:11" ht="18" customHeight="1" x14ac:dyDescent="0.15">
      <c r="A15" s="13">
        <v>46157</v>
      </c>
      <c r="B15" s="14" t="s">
        <v>69</v>
      </c>
      <c r="C15" s="14" t="s">
        <v>107</v>
      </c>
      <c r="D15" s="15">
        <v>-20</v>
      </c>
      <c r="E15" s="14" t="s">
        <v>62</v>
      </c>
      <c r="F15" s="16" t="s">
        <v>18</v>
      </c>
      <c r="G15" s="17" t="s">
        <v>106</v>
      </c>
      <c r="H15" s="16"/>
    </row>
    <row r="16" spans="1:11" ht="18" customHeight="1" x14ac:dyDescent="0.15">
      <c r="A16" s="13">
        <v>46158</v>
      </c>
      <c r="B16" s="14" t="s">
        <v>76</v>
      </c>
      <c r="C16" s="14" t="s">
        <v>77</v>
      </c>
      <c r="D16" s="15">
        <v>0</v>
      </c>
      <c r="E16" s="14" t="s">
        <v>74</v>
      </c>
      <c r="F16" s="16" t="s">
        <v>18</v>
      </c>
      <c r="G16" s="17"/>
      <c r="H16" s="16"/>
    </row>
    <row r="17" spans="1:8" ht="18" customHeight="1" x14ac:dyDescent="0.15">
      <c r="A17" s="13">
        <v>46163</v>
      </c>
      <c r="B17" s="14" t="s">
        <v>98</v>
      </c>
      <c r="C17" s="14" t="s">
        <v>99</v>
      </c>
      <c r="D17" s="15">
        <v>-154</v>
      </c>
      <c r="E17" s="14" t="s">
        <v>62</v>
      </c>
      <c r="F17" s="16" t="s">
        <v>18</v>
      </c>
      <c r="G17" s="17" t="s">
        <v>100</v>
      </c>
      <c r="H17" s="16"/>
    </row>
    <row r="18" spans="1:8" ht="19.5" customHeight="1" x14ac:dyDescent="0.15">
      <c r="A18" s="13">
        <v>46165</v>
      </c>
      <c r="B18" s="14" t="s">
        <v>76</v>
      </c>
      <c r="C18" s="14" t="s">
        <v>77</v>
      </c>
      <c r="D18" s="15">
        <v>0</v>
      </c>
      <c r="E18" s="14" t="s">
        <v>74</v>
      </c>
      <c r="F18" s="16" t="s">
        <v>18</v>
      </c>
      <c r="G18" s="17"/>
      <c r="H18" s="16"/>
    </row>
    <row r="19" spans="1:8" ht="18" customHeight="1" x14ac:dyDescent="0.15">
      <c r="A19" s="13">
        <v>46168</v>
      </c>
      <c r="B19" s="14" t="s">
        <v>88</v>
      </c>
      <c r="C19" s="14" t="s">
        <v>89</v>
      </c>
      <c r="D19" s="15">
        <v>-125.56</v>
      </c>
      <c r="E19" s="14" t="s">
        <v>62</v>
      </c>
      <c r="F19" s="16" t="s">
        <v>16</v>
      </c>
      <c r="G19" s="17" t="s">
        <v>90</v>
      </c>
      <c r="H19" s="16"/>
    </row>
    <row r="20" spans="1:8" ht="18" customHeight="1" x14ac:dyDescent="0.15">
      <c r="A20" s="13">
        <v>46169</v>
      </c>
      <c r="B20" s="14" t="s">
        <v>91</v>
      </c>
      <c r="C20" s="14" t="s">
        <v>92</v>
      </c>
      <c r="D20" s="15">
        <v>2380</v>
      </c>
      <c r="E20" s="14" t="s">
        <v>93</v>
      </c>
      <c r="F20" s="16" t="s">
        <v>94</v>
      </c>
      <c r="G20" s="17" t="s">
        <v>95</v>
      </c>
      <c r="H20" s="16"/>
    </row>
    <row r="21" spans="1:8" ht="18" customHeight="1" x14ac:dyDescent="0.15">
      <c r="A21" s="13">
        <v>46170</v>
      </c>
      <c r="B21" s="14" t="s">
        <v>60</v>
      </c>
      <c r="C21" s="14" t="s">
        <v>96</v>
      </c>
      <c r="D21" s="15">
        <v>-545</v>
      </c>
      <c r="E21" s="14" t="s">
        <v>62</v>
      </c>
      <c r="F21" s="16" t="s">
        <v>16</v>
      </c>
      <c r="G21" s="17" t="s">
        <v>97</v>
      </c>
      <c r="H21" s="16"/>
    </row>
    <row r="22" spans="1:8" ht="18" customHeight="1" x14ac:dyDescent="0.15">
      <c r="A22" s="13">
        <v>46172</v>
      </c>
      <c r="B22" s="14" t="s">
        <v>76</v>
      </c>
      <c r="C22" s="14" t="s">
        <v>77</v>
      </c>
      <c r="D22" s="15">
        <v>0</v>
      </c>
      <c r="E22" s="14" t="s">
        <v>101</v>
      </c>
      <c r="F22" s="16" t="s">
        <v>18</v>
      </c>
      <c r="G22" s="17"/>
      <c r="H22" s="16"/>
    </row>
    <row r="23" spans="1:8" ht="18" customHeight="1" x14ac:dyDescent="0.15">
      <c r="A23" s="13">
        <v>46173</v>
      </c>
      <c r="B23" s="14" t="s">
        <v>109</v>
      </c>
      <c r="C23" s="14" t="s">
        <v>110</v>
      </c>
      <c r="D23" s="15">
        <v>-236.19</v>
      </c>
      <c r="E23" s="14" t="s">
        <v>62</v>
      </c>
      <c r="F23" s="16" t="s">
        <v>16</v>
      </c>
      <c r="G23" s="17" t="s">
        <v>111</v>
      </c>
      <c r="H23" s="16"/>
    </row>
    <row r="24" spans="1:8" ht="16" x14ac:dyDescent="0.15">
      <c r="A24" s="13">
        <v>46173</v>
      </c>
      <c r="B24" s="14" t="s">
        <v>102</v>
      </c>
      <c r="C24" s="14" t="s">
        <v>103</v>
      </c>
      <c r="D24" s="15">
        <f>-(0)</f>
        <v>0</v>
      </c>
      <c r="E24" s="14" t="s">
        <v>82</v>
      </c>
      <c r="F24" s="16" t="s">
        <v>16</v>
      </c>
      <c r="G24" s="17" t="s">
        <v>112</v>
      </c>
      <c r="H24" s="16"/>
    </row>
    <row r="25" spans="1:8" x14ac:dyDescent="0.2">
      <c r="A25" s="13"/>
      <c r="B25" s="18"/>
      <c r="C25" s="18"/>
      <c r="D25" s="18"/>
      <c r="E25" s="18"/>
      <c r="F25" s="18"/>
      <c r="G25" s="19"/>
      <c r="H25" s="16"/>
    </row>
    <row r="26" spans="1:8" ht="16.5" customHeight="1" x14ac:dyDescent="0.15">
      <c r="A26" s="1"/>
      <c r="B26" s="1"/>
      <c r="C26" s="1"/>
      <c r="D26" s="1"/>
      <c r="E26" s="1"/>
      <c r="F26" s="1"/>
      <c r="G26" s="1"/>
      <c r="H26" s="1"/>
    </row>
    <row r="27" spans="1:8" x14ac:dyDescent="0.15">
      <c r="A27" s="13"/>
      <c r="B27" s="14"/>
      <c r="C27" s="14"/>
      <c r="D27" s="15"/>
      <c r="E27" s="14"/>
      <c r="F27" s="16"/>
      <c r="G27" s="17"/>
      <c r="H27" s="16"/>
    </row>
    <row r="28" spans="1:8" x14ac:dyDescent="0.15">
      <c r="A28" s="13"/>
      <c r="B28" s="14"/>
      <c r="C28" s="14"/>
      <c r="D28" s="15"/>
      <c r="E28" s="14"/>
      <c r="F28" s="16"/>
      <c r="G28" s="17"/>
      <c r="H28" s="16"/>
    </row>
    <row r="29" spans="1:8" x14ac:dyDescent="0.15">
      <c r="A29" s="13"/>
      <c r="B29" s="14"/>
      <c r="C29" s="14"/>
      <c r="D29" s="15"/>
      <c r="E29" s="14"/>
      <c r="F29" s="16"/>
      <c r="G29" s="17"/>
      <c r="H29" s="16"/>
    </row>
    <row r="30" spans="1:8" x14ac:dyDescent="0.15">
      <c r="A30" s="13"/>
      <c r="B30" s="14"/>
      <c r="C30" s="14"/>
      <c r="D30" s="15"/>
      <c r="E30" s="14"/>
      <c r="F30" s="16"/>
      <c r="G30" s="17"/>
      <c r="H30" s="16"/>
    </row>
    <row r="31" spans="1:8" x14ac:dyDescent="0.15">
      <c r="A31" s="13"/>
      <c r="B31" s="14"/>
      <c r="C31" s="14"/>
      <c r="D31" s="15"/>
      <c r="E31" s="14"/>
      <c r="F31" s="16"/>
      <c r="G31" s="17"/>
      <c r="H31" s="16"/>
    </row>
    <row r="32" spans="1:8" x14ac:dyDescent="0.15">
      <c r="A32" s="13"/>
      <c r="B32" s="14"/>
      <c r="C32" s="14"/>
      <c r="D32" s="15"/>
      <c r="E32" s="14"/>
      <c r="F32" s="16"/>
      <c r="G32" s="17"/>
      <c r="H32" s="16"/>
    </row>
    <row r="33" spans="1:8" x14ac:dyDescent="0.15">
      <c r="A33" s="13"/>
      <c r="B33" s="14"/>
      <c r="C33" s="14"/>
      <c r="D33" s="15"/>
      <c r="E33" s="14"/>
      <c r="F33" s="16"/>
      <c r="G33" s="17"/>
      <c r="H33" s="16"/>
    </row>
    <row r="34" spans="1:8" x14ac:dyDescent="0.15">
      <c r="A34" s="13"/>
      <c r="B34" s="14"/>
      <c r="C34" s="14"/>
      <c r="D34" s="15"/>
      <c r="E34" s="14"/>
      <c r="F34" s="16"/>
      <c r="G34" s="17"/>
      <c r="H34" s="16"/>
    </row>
    <row r="35" spans="1:8" x14ac:dyDescent="0.15">
      <c r="A35" s="13"/>
      <c r="B35" s="14"/>
      <c r="C35" s="14"/>
      <c r="D35" s="15"/>
      <c r="E35" s="14"/>
      <c r="F35" s="16"/>
      <c r="G35" s="17"/>
      <c r="H35" s="16"/>
    </row>
    <row r="36" spans="1:8" x14ac:dyDescent="0.15">
      <c r="A36" s="13"/>
      <c r="B36" s="14"/>
      <c r="C36" s="14"/>
      <c r="D36" s="15"/>
      <c r="E36" s="14"/>
      <c r="F36" s="16"/>
      <c r="G36" s="17"/>
      <c r="H36" s="16"/>
    </row>
    <row r="37" spans="1:8" x14ac:dyDescent="0.15">
      <c r="A37" s="13"/>
      <c r="B37" s="14"/>
      <c r="C37" s="14"/>
      <c r="D37" s="15"/>
      <c r="E37" s="14"/>
      <c r="F37" s="16"/>
      <c r="G37" s="17"/>
      <c r="H37" s="16"/>
    </row>
    <row r="38" spans="1:8" x14ac:dyDescent="0.15">
      <c r="A38" s="13"/>
      <c r="B38" s="14"/>
      <c r="C38" s="14"/>
      <c r="D38" s="15"/>
      <c r="E38" s="14"/>
      <c r="F38" s="16"/>
      <c r="G38" s="17"/>
      <c r="H38" s="16"/>
    </row>
    <row r="39" spans="1:8" x14ac:dyDescent="0.15">
      <c r="A39" s="13"/>
      <c r="B39" s="14"/>
      <c r="C39" s="14"/>
      <c r="D39" s="15"/>
      <c r="E39" s="14"/>
      <c r="F39" s="16"/>
      <c r="G39" s="17"/>
      <c r="H39" s="16"/>
    </row>
    <row r="40" spans="1:8" x14ac:dyDescent="0.15">
      <c r="A40" s="13"/>
      <c r="B40" s="14"/>
      <c r="C40" s="14"/>
      <c r="D40" s="15"/>
      <c r="E40" s="14"/>
      <c r="F40" s="16"/>
      <c r="G40" s="17"/>
      <c r="H40" s="16"/>
    </row>
    <row r="41" spans="1:8" x14ac:dyDescent="0.15">
      <c r="A41" s="13"/>
      <c r="B41" s="14"/>
      <c r="C41" s="14"/>
      <c r="D41" s="15"/>
      <c r="E41" s="14"/>
      <c r="F41" s="16"/>
      <c r="G41" s="17"/>
      <c r="H41" s="16"/>
    </row>
    <row r="42" spans="1:8" x14ac:dyDescent="0.15">
      <c r="A42" s="13"/>
      <c r="B42" s="14"/>
      <c r="C42" s="14"/>
      <c r="D42" s="15"/>
      <c r="E42" s="14"/>
      <c r="F42" s="16"/>
      <c r="G42" s="17"/>
      <c r="H42" s="16"/>
    </row>
    <row r="43" spans="1:8" x14ac:dyDescent="0.15">
      <c r="A43" s="13"/>
      <c r="B43" s="14"/>
      <c r="C43" s="14"/>
      <c r="D43" s="15"/>
      <c r="E43" s="14"/>
      <c r="F43" s="16"/>
      <c r="G43" s="17"/>
      <c r="H43" s="16"/>
    </row>
    <row r="44" spans="1:8" x14ac:dyDescent="0.15">
      <c r="A44" s="13"/>
      <c r="B44" s="14"/>
      <c r="C44" s="14"/>
      <c r="D44" s="15"/>
      <c r="E44" s="14"/>
      <c r="F44" s="16"/>
      <c r="G44" s="17"/>
      <c r="H44" s="16"/>
    </row>
    <row r="45" spans="1:8" x14ac:dyDescent="0.15">
      <c r="A45" s="13"/>
      <c r="B45" s="14"/>
      <c r="C45" s="14"/>
      <c r="D45" s="15"/>
      <c r="E45" s="14"/>
      <c r="F45" s="16"/>
      <c r="G45" s="17"/>
      <c r="H45" s="16"/>
    </row>
    <row r="46" spans="1:8" x14ac:dyDescent="0.15">
      <c r="A46" s="13"/>
      <c r="B46" s="14"/>
      <c r="C46" s="14"/>
      <c r="D46" s="15"/>
      <c r="E46" s="14"/>
      <c r="F46" s="16"/>
      <c r="G46" s="17"/>
      <c r="H46" s="16"/>
    </row>
    <row r="47" spans="1:8" x14ac:dyDescent="0.15">
      <c r="A47" s="13"/>
      <c r="B47" s="14"/>
      <c r="C47" s="14"/>
      <c r="D47" s="15"/>
      <c r="E47" s="14"/>
      <c r="F47" s="16"/>
      <c r="G47" s="17"/>
      <c r="H47" s="16"/>
    </row>
    <row r="48" spans="1:8" x14ac:dyDescent="0.15">
      <c r="A48" s="13"/>
      <c r="B48" s="14"/>
      <c r="C48" s="14"/>
      <c r="D48" s="15"/>
      <c r="E48" s="14"/>
      <c r="F48" s="16"/>
      <c r="G48" s="17"/>
      <c r="H48" s="16"/>
    </row>
    <row r="49" spans="1:8" x14ac:dyDescent="0.15">
      <c r="A49" s="13"/>
      <c r="B49" s="14"/>
      <c r="C49" s="14"/>
      <c r="D49" s="15"/>
      <c r="E49" s="14"/>
      <c r="F49" s="16"/>
      <c r="G49" s="17"/>
      <c r="H49" s="16"/>
    </row>
    <row r="50" spans="1:8" x14ac:dyDescent="0.15">
      <c r="A50" s="13"/>
      <c r="B50" s="14"/>
      <c r="C50" s="14"/>
      <c r="D50" s="15"/>
      <c r="E50" s="14"/>
      <c r="F50" s="16"/>
      <c r="G50" s="17"/>
      <c r="H50" s="16"/>
    </row>
    <row r="51" spans="1:8" x14ac:dyDescent="0.15">
      <c r="A51" s="13"/>
      <c r="B51" s="14"/>
      <c r="C51" s="14"/>
      <c r="D51" s="15"/>
      <c r="E51" s="14"/>
      <c r="F51" s="16"/>
      <c r="G51" s="17"/>
      <c r="H51" s="16"/>
    </row>
    <row r="52" spans="1:8" x14ac:dyDescent="0.15">
      <c r="A52" s="13"/>
      <c r="B52" s="14"/>
      <c r="C52" s="14"/>
      <c r="D52" s="15"/>
      <c r="E52" s="14"/>
      <c r="F52" s="16"/>
      <c r="G52" s="17"/>
      <c r="H52" s="16"/>
    </row>
    <row r="53" spans="1:8" x14ac:dyDescent="0.15">
      <c r="A53" s="13"/>
      <c r="B53" s="14"/>
      <c r="C53" s="14"/>
      <c r="D53" s="15"/>
      <c r="E53" s="14"/>
      <c r="F53" s="16"/>
      <c r="G53" s="17"/>
      <c r="H53" s="16"/>
    </row>
    <row r="54" spans="1:8" x14ac:dyDescent="0.15">
      <c r="A54" s="13"/>
      <c r="B54" s="14"/>
      <c r="C54" s="14"/>
      <c r="D54" s="15"/>
      <c r="E54" s="14"/>
      <c r="F54" s="16"/>
      <c r="G54" s="17"/>
      <c r="H54" s="16"/>
    </row>
    <row r="55" spans="1:8" x14ac:dyDescent="0.15">
      <c r="A55" s="13"/>
      <c r="B55" s="14"/>
      <c r="C55" s="14"/>
      <c r="D55" s="15"/>
      <c r="E55" s="14"/>
      <c r="F55" s="16"/>
      <c r="G55" s="17"/>
      <c r="H55" s="16"/>
    </row>
    <row r="56" spans="1:8" x14ac:dyDescent="0.15">
      <c r="A56" s="13"/>
      <c r="B56" s="14"/>
      <c r="C56" s="14"/>
      <c r="D56" s="15"/>
      <c r="E56" s="14"/>
      <c r="F56" s="16"/>
      <c r="G56" s="17"/>
      <c r="H56" s="16"/>
    </row>
    <row r="57" spans="1:8" x14ac:dyDescent="0.15">
      <c r="A57" s="13"/>
      <c r="B57" s="14"/>
      <c r="C57" s="14"/>
      <c r="D57" s="15"/>
      <c r="E57" s="14"/>
      <c r="F57" s="16"/>
      <c r="G57" s="17"/>
      <c r="H57" s="16"/>
    </row>
    <row r="58" spans="1:8" x14ac:dyDescent="0.15">
      <c r="A58" s="13"/>
      <c r="B58" s="14"/>
      <c r="C58" s="14"/>
      <c r="D58" s="15"/>
      <c r="E58" s="14"/>
      <c r="F58" s="16"/>
      <c r="G58" s="17"/>
      <c r="H58" s="16"/>
    </row>
    <row r="59" spans="1:8" x14ac:dyDescent="0.15">
      <c r="A59" s="13"/>
      <c r="B59" s="14"/>
      <c r="C59" s="14"/>
      <c r="D59" s="15"/>
      <c r="E59" s="14"/>
      <c r="F59" s="16"/>
      <c r="G59" s="17"/>
      <c r="H59" s="16"/>
    </row>
    <row r="60" spans="1:8" x14ac:dyDescent="0.15">
      <c r="A60" s="13"/>
      <c r="B60" s="14"/>
      <c r="C60" s="14"/>
      <c r="D60" s="15"/>
      <c r="E60" s="14"/>
      <c r="F60" s="16"/>
      <c r="G60" s="17"/>
      <c r="H60" s="16"/>
    </row>
    <row r="61" spans="1:8" x14ac:dyDescent="0.15">
      <c r="A61" s="13"/>
      <c r="B61" s="14"/>
      <c r="C61" s="14"/>
      <c r="D61" s="15"/>
      <c r="E61" s="14"/>
      <c r="F61" s="16"/>
      <c r="G61" s="17"/>
      <c r="H61" s="16"/>
    </row>
    <row r="62" spans="1:8" x14ac:dyDescent="0.15">
      <c r="A62" s="13"/>
      <c r="B62" s="14"/>
      <c r="C62" s="14"/>
      <c r="D62" s="15"/>
      <c r="E62" s="14"/>
      <c r="F62" s="16"/>
      <c r="G62" s="17"/>
      <c r="H62" s="16"/>
    </row>
    <row r="63" spans="1:8" x14ac:dyDescent="0.15">
      <c r="A63" s="13"/>
      <c r="B63" s="14"/>
      <c r="C63" s="14"/>
      <c r="D63" s="15"/>
      <c r="E63" s="14"/>
      <c r="F63" s="16"/>
      <c r="G63" s="17"/>
      <c r="H63" s="16"/>
    </row>
    <row r="64" spans="1:8" x14ac:dyDescent="0.15">
      <c r="A64" s="13"/>
      <c r="B64" s="14"/>
      <c r="C64" s="14"/>
      <c r="D64" s="15"/>
      <c r="E64" s="14"/>
      <c r="F64" s="16"/>
      <c r="G64" s="17"/>
      <c r="H64" s="16"/>
    </row>
    <row r="65" spans="1:8" x14ac:dyDescent="0.15">
      <c r="A65" s="13"/>
      <c r="B65" s="14"/>
      <c r="C65" s="14"/>
      <c r="D65" s="15"/>
      <c r="E65" s="14"/>
      <c r="F65" s="16"/>
      <c r="G65" s="17"/>
      <c r="H65" s="16"/>
    </row>
    <row r="66" spans="1:8" x14ac:dyDescent="0.15">
      <c r="A66" s="13"/>
      <c r="B66" s="14"/>
      <c r="C66" s="14"/>
      <c r="D66" s="15"/>
      <c r="E66" s="14"/>
      <c r="F66" s="16"/>
      <c r="G66" s="17"/>
      <c r="H66" s="16"/>
    </row>
    <row r="67" spans="1:8" x14ac:dyDescent="0.15">
      <c r="A67" s="13"/>
      <c r="B67" s="14"/>
      <c r="C67" s="14"/>
      <c r="D67" s="15"/>
      <c r="E67" s="14"/>
      <c r="F67" s="16"/>
      <c r="G67" s="17"/>
      <c r="H67" s="16"/>
    </row>
    <row r="1048574" ht="12.75" customHeight="1" x14ac:dyDescent="0.15"/>
    <row r="1048575" ht="12.75" customHeight="1" x14ac:dyDescent="0.15"/>
  </sheetData>
  <autoFilter ref="A3:H143" xr:uid="{00000000-0009-0000-0000-000006000000}"/>
  <mergeCells count="2">
    <mergeCell ref="A1:G1"/>
    <mergeCell ref="A26:H26"/>
  </mergeCells>
  <conditionalFormatting sqref="A22:G63 A4:G20">
    <cfRule type="cellIs" dxfId="51" priority="6" operator="equal">
      <formula>"A"</formula>
    </cfRule>
    <cfRule type="expression" dxfId="50" priority="7">
      <formula>$F4="A"</formula>
    </cfRule>
    <cfRule type="expression" dxfId="49" priority="8">
      <formula>$F4="B"</formula>
    </cfRule>
    <cfRule type="expression" dxfId="48" priority="9">
      <formula>$F4="C"</formula>
    </cfRule>
  </conditionalFormatting>
  <conditionalFormatting sqref="A21:G21">
    <cfRule type="cellIs" dxfId="47" priority="1" operator="equal">
      <formula>"A"</formula>
    </cfRule>
    <cfRule type="expression" dxfId="46" priority="2">
      <formula>$F21="A"</formula>
    </cfRule>
    <cfRule type="expression" dxfId="45" priority="3">
      <formula>$F21="B"</formula>
    </cfRule>
    <cfRule type="expression" dxfId="44" priority="4">
      <formula>$F21="C"</formula>
    </cfRule>
  </conditionalFormatting>
  <dataValidations count="3">
    <dataValidation type="list" allowBlank="1" sqref="F4:F143" xr:uid="{00000000-0002-0000-0600-000000000000}">
      <formula1>"A,B,C,—"</formula1>
      <formula2>0</formula2>
    </dataValidation>
    <dataValidation type="list" allowBlank="1" sqref="E4:E143" xr:uid="{00000000-0002-0000-0600-000001000000}">
      <formula1>"SDD,Accredito,Bancomat,CC moglie,Contanti,Buoni pasto,Gift card,Altro"</formula1>
      <formula2>0</formula2>
    </dataValidation>
    <dataValidation type="list" allowBlank="1" sqref="H4:H143" xr:uid="{00000000-0002-0000-0600-000002000000}">
      <formula1>"Sì,No"</formula1>
      <formula2>0</formula2>
    </dataValidation>
  </dataValidations>
  <printOptions gridLines="1"/>
  <pageMargins left="0.7" right="0.7" top="0.75" bottom="0.75" header="0.511811023622047" footer="0.511811023622047"/>
  <pageSetup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1048575"/>
  <sheetViews>
    <sheetView showGridLines="0" zoomScale="125" zoomScaleNormal="125" workbookViewId="0">
      <pane ySplit="3" topLeftCell="A4" activePane="bottomLeft" state="frozen"/>
      <selection pane="bottomLeft" activeCell="A21" sqref="A21:XFD21"/>
    </sheetView>
  </sheetViews>
  <sheetFormatPr baseColWidth="10" defaultColWidth="9.83203125" defaultRowHeight="15" customHeight="1" x14ac:dyDescent="0.15"/>
  <cols>
    <col min="1" max="1" width="13.6640625" customWidth="1"/>
    <col min="2" max="2" width="15.83203125" customWidth="1"/>
    <col min="3" max="3" width="43.1640625" customWidth="1"/>
    <col min="4" max="5" width="15.83203125" customWidth="1"/>
    <col min="6" max="6" width="9" customWidth="1"/>
    <col min="7" max="7" width="45.5" customWidth="1"/>
    <col min="8" max="8" width="11.33203125" customWidth="1"/>
    <col min="10" max="10" width="20.5" customWidth="1"/>
    <col min="11" max="11" width="18.1640625" customWidth="1"/>
  </cols>
  <sheetData>
    <row r="1" spans="1:11" ht="27.75" customHeight="1" x14ac:dyDescent="0.15">
      <c r="A1" s="2" t="s">
        <v>116</v>
      </c>
      <c r="B1" s="2"/>
      <c r="C1" s="2"/>
      <c r="D1" s="2"/>
      <c r="E1" s="2"/>
      <c r="F1" s="2"/>
      <c r="G1" s="2"/>
    </row>
    <row r="2" spans="1:11" ht="14" x14ac:dyDescent="0.15">
      <c r="F2" s="11"/>
      <c r="G2" s="10"/>
      <c r="J2" s="11" t="s">
        <v>52</v>
      </c>
      <c r="K2" s="10">
        <f>SUMIF($A:$A,"&lt;&gt;",$D:$D)</f>
        <v>2382.48</v>
      </c>
    </row>
    <row r="3" spans="1:11" ht="24" customHeight="1" x14ac:dyDescent="0.15">
      <c r="A3" s="12" t="s">
        <v>53</v>
      </c>
      <c r="B3" s="12" t="s">
        <v>54</v>
      </c>
      <c r="C3" s="12" t="s">
        <v>55</v>
      </c>
      <c r="D3" s="12" t="s">
        <v>56</v>
      </c>
      <c r="E3" s="12" t="s">
        <v>57</v>
      </c>
      <c r="F3" s="12" t="s">
        <v>14</v>
      </c>
      <c r="G3" s="12" t="s">
        <v>58</v>
      </c>
      <c r="H3" s="12" t="s">
        <v>26</v>
      </c>
      <c r="J3" s="11" t="s">
        <v>59</v>
      </c>
      <c r="K3" s="10">
        <f>'05-May'!$K$3+$K$2</f>
        <v>2901.91</v>
      </c>
    </row>
    <row r="4" spans="1:11" ht="18" customHeight="1" x14ac:dyDescent="0.15">
      <c r="A4" s="13">
        <v>46174</v>
      </c>
      <c r="B4" s="14" t="s">
        <v>60</v>
      </c>
      <c r="C4" s="14" t="s">
        <v>61</v>
      </c>
      <c r="D4" s="15">
        <v>-742</v>
      </c>
      <c r="E4" s="14" t="s">
        <v>62</v>
      </c>
      <c r="F4" s="16" t="s">
        <v>16</v>
      </c>
      <c r="G4" s="17" t="s">
        <v>63</v>
      </c>
      <c r="H4" s="16"/>
    </row>
    <row r="5" spans="1:11" ht="18" customHeight="1" x14ac:dyDescent="0.15">
      <c r="A5" s="13">
        <v>46174</v>
      </c>
      <c r="B5" s="14" t="s">
        <v>65</v>
      </c>
      <c r="C5" s="14" t="s">
        <v>66</v>
      </c>
      <c r="D5" s="15">
        <v>-38</v>
      </c>
      <c r="E5" s="14" t="s">
        <v>62</v>
      </c>
      <c r="F5" s="16" t="s">
        <v>18</v>
      </c>
      <c r="G5" s="17" t="s">
        <v>67</v>
      </c>
      <c r="H5" s="16"/>
    </row>
    <row r="6" spans="1:11" ht="18" customHeight="1" x14ac:dyDescent="0.15">
      <c r="A6" s="13">
        <v>46175</v>
      </c>
      <c r="B6" s="14" t="s">
        <v>69</v>
      </c>
      <c r="C6" s="14" t="s">
        <v>70</v>
      </c>
      <c r="D6" s="15">
        <v>-6.99</v>
      </c>
      <c r="E6" s="14" t="s">
        <v>62</v>
      </c>
      <c r="F6" s="16" t="s">
        <v>18</v>
      </c>
      <c r="G6" s="17" t="s">
        <v>71</v>
      </c>
      <c r="H6" s="16"/>
    </row>
    <row r="7" spans="1:11" ht="18" customHeight="1" x14ac:dyDescent="0.15">
      <c r="A7" s="13">
        <v>46179</v>
      </c>
      <c r="B7" s="14" t="s">
        <v>76</v>
      </c>
      <c r="C7" s="14" t="s">
        <v>77</v>
      </c>
      <c r="D7" s="15">
        <v>-170</v>
      </c>
      <c r="E7" s="14" t="s">
        <v>82</v>
      </c>
      <c r="F7" s="16" t="s">
        <v>18</v>
      </c>
      <c r="G7" s="17"/>
      <c r="H7" s="16"/>
    </row>
    <row r="8" spans="1:11" ht="18" customHeight="1" x14ac:dyDescent="0.15">
      <c r="A8" s="13">
        <v>46182</v>
      </c>
      <c r="B8" s="14" t="s">
        <v>65</v>
      </c>
      <c r="C8" s="14" t="s">
        <v>81</v>
      </c>
      <c r="D8" s="15">
        <v>-6.99</v>
      </c>
      <c r="E8" s="14" t="s">
        <v>82</v>
      </c>
      <c r="F8" s="16" t="s">
        <v>20</v>
      </c>
      <c r="G8" s="17"/>
      <c r="H8" s="16"/>
    </row>
    <row r="9" spans="1:11" ht="18" customHeight="1" x14ac:dyDescent="0.15">
      <c r="A9" s="13">
        <v>46183</v>
      </c>
      <c r="B9" s="14" t="s">
        <v>65</v>
      </c>
      <c r="C9" s="14" t="s">
        <v>83</v>
      </c>
      <c r="D9" s="15">
        <v>-6.99</v>
      </c>
      <c r="E9" s="14" t="s">
        <v>82</v>
      </c>
      <c r="F9" s="16" t="s">
        <v>20</v>
      </c>
      <c r="G9" s="17"/>
      <c r="H9" s="16"/>
    </row>
    <row r="10" spans="1:11" ht="18" customHeight="1" x14ac:dyDescent="0.15">
      <c r="A10" s="13">
        <v>46186</v>
      </c>
      <c r="B10" s="14" t="s">
        <v>76</v>
      </c>
      <c r="C10" s="14" t="s">
        <v>77</v>
      </c>
      <c r="D10" s="15">
        <v>-170</v>
      </c>
      <c r="E10" s="14" t="s">
        <v>82</v>
      </c>
      <c r="F10" s="16" t="s">
        <v>18</v>
      </c>
      <c r="G10" s="17"/>
      <c r="H10" s="16"/>
    </row>
    <row r="11" spans="1:11" ht="18" customHeight="1" x14ac:dyDescent="0.15">
      <c r="A11" s="13">
        <v>46188</v>
      </c>
      <c r="B11" s="14" t="s">
        <v>60</v>
      </c>
      <c r="C11" s="14" t="s">
        <v>84</v>
      </c>
      <c r="D11" s="15">
        <v>-218</v>
      </c>
      <c r="E11" s="14" t="s">
        <v>62</v>
      </c>
      <c r="F11" s="16" t="s">
        <v>16</v>
      </c>
      <c r="G11" s="17" t="s">
        <v>85</v>
      </c>
      <c r="H11" s="16"/>
    </row>
    <row r="12" spans="1:11" ht="18" customHeight="1" x14ac:dyDescent="0.15">
      <c r="A12" s="13">
        <v>46188</v>
      </c>
      <c r="B12" s="14" t="s">
        <v>69</v>
      </c>
      <c r="C12" s="14" t="s">
        <v>86</v>
      </c>
      <c r="D12" s="15">
        <v>-31</v>
      </c>
      <c r="E12" s="14" t="s">
        <v>62</v>
      </c>
      <c r="F12" s="16" t="s">
        <v>18</v>
      </c>
      <c r="G12" s="17" t="s">
        <v>71</v>
      </c>
      <c r="H12" s="16"/>
    </row>
    <row r="13" spans="1:11" ht="18" customHeight="1" x14ac:dyDescent="0.15">
      <c r="A13" s="13">
        <v>46188</v>
      </c>
      <c r="B13" s="14" t="s">
        <v>69</v>
      </c>
      <c r="C13" s="14" t="s">
        <v>87</v>
      </c>
      <c r="D13" s="15">
        <v>-6.99</v>
      </c>
      <c r="E13" s="14" t="s">
        <v>62</v>
      </c>
      <c r="F13" s="16" t="s">
        <v>18</v>
      </c>
      <c r="G13" s="17" t="s">
        <v>71</v>
      </c>
      <c r="H13" s="16"/>
    </row>
    <row r="14" spans="1:11" ht="18" customHeight="1" x14ac:dyDescent="0.15">
      <c r="A14" s="13">
        <v>46188</v>
      </c>
      <c r="B14" s="14" t="s">
        <v>69</v>
      </c>
      <c r="C14" s="14" t="s">
        <v>105</v>
      </c>
      <c r="D14" s="15">
        <v>-120</v>
      </c>
      <c r="E14" s="14" t="s">
        <v>62</v>
      </c>
      <c r="F14" s="16" t="s">
        <v>18</v>
      </c>
      <c r="G14" s="17" t="s">
        <v>106</v>
      </c>
      <c r="H14" s="16"/>
    </row>
    <row r="15" spans="1:11" ht="18" customHeight="1" x14ac:dyDescent="0.15">
      <c r="A15" s="13">
        <v>46188</v>
      </c>
      <c r="B15" s="14" t="s">
        <v>69</v>
      </c>
      <c r="C15" s="14" t="s">
        <v>107</v>
      </c>
      <c r="D15" s="15">
        <v>-20</v>
      </c>
      <c r="E15" s="14" t="s">
        <v>62</v>
      </c>
      <c r="F15" s="16" t="s">
        <v>18</v>
      </c>
      <c r="G15" s="17" t="s">
        <v>106</v>
      </c>
      <c r="H15" s="16"/>
    </row>
    <row r="16" spans="1:11" ht="18" customHeight="1" x14ac:dyDescent="0.15">
      <c r="A16" s="13">
        <v>46193</v>
      </c>
      <c r="B16" s="14" t="s">
        <v>76</v>
      </c>
      <c r="C16" s="14" t="s">
        <v>77</v>
      </c>
      <c r="D16" s="15">
        <v>-170</v>
      </c>
      <c r="E16" s="14" t="s">
        <v>82</v>
      </c>
      <c r="F16" s="16" t="s">
        <v>18</v>
      </c>
      <c r="G16" s="17"/>
      <c r="H16" s="16"/>
    </row>
    <row r="17" spans="1:8" ht="19.5" customHeight="1" x14ac:dyDescent="0.15">
      <c r="A17" s="13">
        <v>46199</v>
      </c>
      <c r="B17" s="14" t="s">
        <v>88</v>
      </c>
      <c r="C17" s="14" t="s">
        <v>89</v>
      </c>
      <c r="D17" s="15">
        <v>-125.56</v>
      </c>
      <c r="E17" s="14" t="s">
        <v>82</v>
      </c>
      <c r="F17" s="16" t="s">
        <v>16</v>
      </c>
      <c r="G17" s="17" t="s">
        <v>90</v>
      </c>
      <c r="H17" s="16"/>
    </row>
    <row r="18" spans="1:8" ht="18" customHeight="1" x14ac:dyDescent="0.15">
      <c r="A18" s="13">
        <v>46200</v>
      </c>
      <c r="B18" s="14" t="s">
        <v>91</v>
      </c>
      <c r="C18" s="14" t="s">
        <v>92</v>
      </c>
      <c r="D18" s="15">
        <v>2380</v>
      </c>
      <c r="E18" s="14" t="s">
        <v>93</v>
      </c>
      <c r="F18" s="16" t="s">
        <v>94</v>
      </c>
      <c r="G18" s="17" t="s">
        <v>95</v>
      </c>
      <c r="H18" s="16"/>
    </row>
    <row r="19" spans="1:8" ht="18" customHeight="1" x14ac:dyDescent="0.15">
      <c r="A19" s="13">
        <v>46200</v>
      </c>
      <c r="B19" s="14" t="s">
        <v>91</v>
      </c>
      <c r="C19" s="14" t="s">
        <v>117</v>
      </c>
      <c r="D19" s="15">
        <f>SUMIFS($D:$D,$A:$A,DATE(2026,6,27),$C:$C,"Stipendio netto")</f>
        <v>2380</v>
      </c>
      <c r="E19" s="14" t="s">
        <v>93</v>
      </c>
      <c r="F19" s="16" t="s">
        <v>94</v>
      </c>
      <c r="G19" s="17" t="s">
        <v>95</v>
      </c>
      <c r="H19" s="16"/>
    </row>
    <row r="20" spans="1:8" ht="18" customHeight="1" x14ac:dyDescent="0.15">
      <c r="A20" s="13">
        <v>46200</v>
      </c>
      <c r="B20" s="14" t="s">
        <v>76</v>
      </c>
      <c r="C20" s="14" t="s">
        <v>77</v>
      </c>
      <c r="D20" s="15">
        <v>0</v>
      </c>
      <c r="E20" s="14" t="s">
        <v>101</v>
      </c>
      <c r="F20" s="16" t="s">
        <v>18</v>
      </c>
      <c r="G20" s="17"/>
      <c r="H20" s="16"/>
    </row>
    <row r="21" spans="1:8" ht="18" customHeight="1" x14ac:dyDescent="0.15">
      <c r="A21" s="13">
        <v>46201</v>
      </c>
      <c r="B21" s="14" t="s">
        <v>60</v>
      </c>
      <c r="C21" s="14" t="s">
        <v>96</v>
      </c>
      <c r="D21" s="15">
        <v>-545</v>
      </c>
      <c r="E21" s="14" t="s">
        <v>62</v>
      </c>
      <c r="F21" s="16" t="s">
        <v>16</v>
      </c>
      <c r="G21" s="17" t="s">
        <v>97</v>
      </c>
      <c r="H21" s="16"/>
    </row>
    <row r="22" spans="1:8" ht="18" customHeight="1" x14ac:dyDescent="0.15">
      <c r="A22" s="13">
        <v>46203</v>
      </c>
      <c r="B22" s="14" t="s">
        <v>102</v>
      </c>
      <c r="C22" s="14" t="s">
        <v>103</v>
      </c>
      <c r="D22" s="15">
        <f>-(0)</f>
        <v>0</v>
      </c>
      <c r="E22" s="14" t="s">
        <v>82</v>
      </c>
      <c r="F22" s="16" t="s">
        <v>16</v>
      </c>
      <c r="G22" s="17" t="s">
        <v>112</v>
      </c>
      <c r="H22" s="16"/>
    </row>
    <row r="23" spans="1:8" x14ac:dyDescent="0.2">
      <c r="A23" s="13"/>
      <c r="B23" s="18"/>
      <c r="C23" s="18"/>
      <c r="D23" s="18"/>
      <c r="E23" s="18"/>
      <c r="F23" s="18"/>
      <c r="G23" s="19"/>
      <c r="H23" s="16"/>
    </row>
    <row r="24" spans="1:8" ht="16.5" customHeight="1" x14ac:dyDescent="0.15">
      <c r="A24" s="1"/>
      <c r="B24" s="1"/>
      <c r="C24" s="1"/>
      <c r="D24" s="1"/>
      <c r="E24" s="1"/>
      <c r="F24" s="1"/>
      <c r="G24" s="1"/>
      <c r="H24" s="1"/>
    </row>
    <row r="25" spans="1:8" x14ac:dyDescent="0.15">
      <c r="A25" s="13"/>
      <c r="B25" s="14"/>
      <c r="C25" s="14"/>
      <c r="D25" s="15"/>
      <c r="E25" s="14"/>
      <c r="F25" s="16"/>
      <c r="G25" s="17"/>
      <c r="H25" s="16"/>
    </row>
    <row r="26" spans="1:8" x14ac:dyDescent="0.15">
      <c r="A26" s="13"/>
      <c r="B26" s="14"/>
      <c r="C26" s="14"/>
      <c r="D26" s="15"/>
      <c r="E26" s="14"/>
      <c r="F26" s="16"/>
      <c r="G26" s="17"/>
      <c r="H26" s="16"/>
    </row>
    <row r="27" spans="1:8" x14ac:dyDescent="0.15">
      <c r="A27" s="13"/>
      <c r="B27" s="14"/>
      <c r="C27" s="14"/>
      <c r="D27" s="15"/>
      <c r="E27" s="14"/>
      <c r="F27" s="16"/>
      <c r="G27" s="17"/>
      <c r="H27" s="16"/>
    </row>
    <row r="28" spans="1:8" x14ac:dyDescent="0.15">
      <c r="A28" s="13"/>
      <c r="B28" s="14"/>
      <c r="C28" s="14"/>
      <c r="D28" s="15"/>
      <c r="E28" s="14"/>
      <c r="F28" s="16"/>
      <c r="G28" s="17"/>
      <c r="H28" s="16"/>
    </row>
    <row r="29" spans="1:8" x14ac:dyDescent="0.15">
      <c r="A29" s="13"/>
      <c r="B29" s="14"/>
      <c r="C29" s="14"/>
      <c r="D29" s="15"/>
      <c r="E29" s="14"/>
      <c r="F29" s="16"/>
      <c r="G29" s="17"/>
      <c r="H29" s="16"/>
    </row>
    <row r="30" spans="1:8" x14ac:dyDescent="0.15">
      <c r="A30" s="13"/>
      <c r="B30" s="14"/>
      <c r="C30" s="14"/>
      <c r="D30" s="15"/>
      <c r="E30" s="14"/>
      <c r="F30" s="16"/>
      <c r="G30" s="17"/>
      <c r="H30" s="16"/>
    </row>
    <row r="31" spans="1:8" x14ac:dyDescent="0.15">
      <c r="A31" s="13"/>
      <c r="B31" s="14"/>
      <c r="C31" s="14"/>
      <c r="D31" s="15"/>
      <c r="E31" s="14"/>
      <c r="F31" s="16"/>
      <c r="G31" s="17"/>
      <c r="H31" s="16"/>
    </row>
    <row r="32" spans="1:8" x14ac:dyDescent="0.15">
      <c r="A32" s="13"/>
      <c r="B32" s="14"/>
      <c r="C32" s="14"/>
      <c r="D32" s="15"/>
      <c r="E32" s="14"/>
      <c r="F32" s="16"/>
      <c r="G32" s="17"/>
      <c r="H32" s="16"/>
    </row>
    <row r="33" spans="1:8" x14ac:dyDescent="0.15">
      <c r="A33" s="13"/>
      <c r="B33" s="14"/>
      <c r="C33" s="14"/>
      <c r="D33" s="15"/>
      <c r="E33" s="14"/>
      <c r="F33" s="16"/>
      <c r="G33" s="17"/>
      <c r="H33" s="16"/>
    </row>
    <row r="34" spans="1:8" x14ac:dyDescent="0.15">
      <c r="A34" s="13"/>
      <c r="B34" s="14"/>
      <c r="C34" s="14"/>
      <c r="D34" s="15"/>
      <c r="E34" s="14"/>
      <c r="F34" s="16"/>
      <c r="G34" s="17"/>
      <c r="H34" s="16"/>
    </row>
    <row r="35" spans="1:8" x14ac:dyDescent="0.15">
      <c r="A35" s="13"/>
      <c r="B35" s="14"/>
      <c r="C35" s="14"/>
      <c r="D35" s="15"/>
      <c r="E35" s="14"/>
      <c r="F35" s="16"/>
      <c r="G35" s="17"/>
      <c r="H35" s="16"/>
    </row>
    <row r="36" spans="1:8" x14ac:dyDescent="0.15">
      <c r="A36" s="13"/>
      <c r="B36" s="14"/>
      <c r="C36" s="14"/>
      <c r="D36" s="15"/>
      <c r="E36" s="14"/>
      <c r="F36" s="16"/>
      <c r="G36" s="17"/>
      <c r="H36" s="16"/>
    </row>
    <row r="37" spans="1:8" x14ac:dyDescent="0.15">
      <c r="A37" s="13"/>
      <c r="B37" s="14"/>
      <c r="C37" s="14"/>
      <c r="D37" s="15"/>
      <c r="E37" s="14"/>
      <c r="F37" s="16"/>
      <c r="G37" s="17"/>
      <c r="H37" s="16"/>
    </row>
    <row r="38" spans="1:8" x14ac:dyDescent="0.15">
      <c r="A38" s="13"/>
      <c r="B38" s="14"/>
      <c r="C38" s="14"/>
      <c r="D38" s="15"/>
      <c r="E38" s="14"/>
      <c r="F38" s="16"/>
      <c r="G38" s="17"/>
      <c r="H38" s="16"/>
    </row>
    <row r="39" spans="1:8" x14ac:dyDescent="0.15">
      <c r="A39" s="13"/>
      <c r="B39" s="14"/>
      <c r="C39" s="14"/>
      <c r="D39" s="15"/>
      <c r="E39" s="14"/>
      <c r="F39" s="16"/>
      <c r="G39" s="17"/>
      <c r="H39" s="16"/>
    </row>
    <row r="40" spans="1:8" x14ac:dyDescent="0.15">
      <c r="A40" s="13"/>
      <c r="B40" s="14"/>
      <c r="C40" s="14"/>
      <c r="D40" s="15"/>
      <c r="E40" s="14"/>
      <c r="F40" s="16"/>
      <c r="G40" s="17"/>
      <c r="H40" s="16"/>
    </row>
    <row r="41" spans="1:8" x14ac:dyDescent="0.15">
      <c r="A41" s="13"/>
      <c r="B41" s="14"/>
      <c r="C41" s="14"/>
      <c r="D41" s="15"/>
      <c r="E41" s="14"/>
      <c r="F41" s="16"/>
      <c r="G41" s="17"/>
      <c r="H41" s="16"/>
    </row>
    <row r="42" spans="1:8" x14ac:dyDescent="0.15">
      <c r="A42" s="13"/>
      <c r="B42" s="14"/>
      <c r="C42" s="14"/>
      <c r="D42" s="15"/>
      <c r="E42" s="14"/>
      <c r="F42" s="16"/>
      <c r="G42" s="17"/>
      <c r="H42" s="16"/>
    </row>
    <row r="43" spans="1:8" x14ac:dyDescent="0.15">
      <c r="A43" s="13"/>
      <c r="B43" s="14"/>
      <c r="C43" s="14"/>
      <c r="D43" s="15"/>
      <c r="E43" s="14"/>
      <c r="F43" s="16"/>
      <c r="G43" s="17"/>
      <c r="H43" s="16"/>
    </row>
    <row r="44" spans="1:8" x14ac:dyDescent="0.15">
      <c r="A44" s="13"/>
      <c r="B44" s="14"/>
      <c r="C44" s="14"/>
      <c r="D44" s="15"/>
      <c r="E44" s="14"/>
      <c r="F44" s="16"/>
      <c r="G44" s="17"/>
      <c r="H44" s="16"/>
    </row>
    <row r="45" spans="1:8" x14ac:dyDescent="0.15">
      <c r="A45" s="13"/>
      <c r="B45" s="14"/>
      <c r="C45" s="14"/>
      <c r="D45" s="15"/>
      <c r="E45" s="14"/>
      <c r="F45" s="16"/>
      <c r="G45" s="17"/>
      <c r="H45" s="16"/>
    </row>
    <row r="46" spans="1:8" x14ac:dyDescent="0.15">
      <c r="A46" s="13"/>
      <c r="B46" s="14"/>
      <c r="C46" s="14"/>
      <c r="D46" s="15"/>
      <c r="E46" s="14"/>
      <c r="F46" s="16"/>
      <c r="G46" s="17"/>
      <c r="H46" s="16"/>
    </row>
    <row r="47" spans="1:8" x14ac:dyDescent="0.15">
      <c r="A47" s="13"/>
      <c r="B47" s="14"/>
      <c r="C47" s="14"/>
      <c r="D47" s="15"/>
      <c r="E47" s="14"/>
      <c r="F47" s="16"/>
      <c r="G47" s="17"/>
      <c r="H47" s="16"/>
    </row>
    <row r="48" spans="1:8" x14ac:dyDescent="0.15">
      <c r="A48" s="13"/>
      <c r="B48" s="14"/>
      <c r="C48" s="14"/>
      <c r="D48" s="15"/>
      <c r="E48" s="14"/>
      <c r="F48" s="16"/>
      <c r="G48" s="17"/>
      <c r="H48" s="16"/>
    </row>
    <row r="49" spans="1:8" x14ac:dyDescent="0.15">
      <c r="A49" s="13"/>
      <c r="B49" s="14"/>
      <c r="C49" s="14"/>
      <c r="D49" s="15"/>
      <c r="E49" s="14"/>
      <c r="F49" s="16"/>
      <c r="G49" s="17"/>
      <c r="H49" s="16"/>
    </row>
    <row r="50" spans="1:8" x14ac:dyDescent="0.15">
      <c r="A50" s="13"/>
      <c r="B50" s="14"/>
      <c r="C50" s="14"/>
      <c r="D50" s="15"/>
      <c r="E50" s="14"/>
      <c r="F50" s="16"/>
      <c r="G50" s="17"/>
      <c r="H50" s="16"/>
    </row>
    <row r="51" spans="1:8" x14ac:dyDescent="0.15">
      <c r="A51" s="13"/>
      <c r="B51" s="14"/>
      <c r="C51" s="14"/>
      <c r="D51" s="15"/>
      <c r="E51" s="14"/>
      <c r="F51" s="16"/>
      <c r="G51" s="17"/>
      <c r="H51" s="16"/>
    </row>
    <row r="52" spans="1:8" x14ac:dyDescent="0.15">
      <c r="A52" s="13"/>
      <c r="B52" s="14"/>
      <c r="C52" s="14"/>
      <c r="D52" s="15"/>
      <c r="E52" s="14"/>
      <c r="F52" s="16"/>
      <c r="G52" s="17"/>
      <c r="H52" s="16"/>
    </row>
    <row r="53" spans="1:8" x14ac:dyDescent="0.15">
      <c r="A53" s="13"/>
      <c r="B53" s="14"/>
      <c r="C53" s="14"/>
      <c r="D53" s="15"/>
      <c r="E53" s="14"/>
      <c r="F53" s="16"/>
      <c r="G53" s="17"/>
      <c r="H53" s="16"/>
    </row>
    <row r="54" spans="1:8" x14ac:dyDescent="0.15">
      <c r="A54" s="13"/>
      <c r="B54" s="14"/>
      <c r="C54" s="14"/>
      <c r="D54" s="15"/>
      <c r="E54" s="14"/>
      <c r="F54" s="16"/>
      <c r="G54" s="17"/>
      <c r="H54" s="16"/>
    </row>
    <row r="55" spans="1:8" x14ac:dyDescent="0.15">
      <c r="A55" s="13"/>
      <c r="B55" s="14"/>
      <c r="C55" s="14"/>
      <c r="D55" s="15"/>
      <c r="E55" s="14"/>
      <c r="F55" s="16"/>
      <c r="G55" s="17"/>
      <c r="H55" s="16"/>
    </row>
    <row r="56" spans="1:8" x14ac:dyDescent="0.15">
      <c r="A56" s="13"/>
      <c r="B56" s="14"/>
      <c r="C56" s="14"/>
      <c r="D56" s="15"/>
      <c r="E56" s="14"/>
      <c r="F56" s="16"/>
      <c r="G56" s="17"/>
      <c r="H56" s="16"/>
    </row>
    <row r="57" spans="1:8" x14ac:dyDescent="0.15">
      <c r="A57" s="13"/>
      <c r="B57" s="14"/>
      <c r="C57" s="14"/>
      <c r="D57" s="15"/>
      <c r="E57" s="14"/>
      <c r="F57" s="16"/>
      <c r="G57" s="17"/>
      <c r="H57" s="16"/>
    </row>
    <row r="58" spans="1:8" x14ac:dyDescent="0.15">
      <c r="A58" s="13"/>
      <c r="B58" s="14"/>
      <c r="C58" s="14"/>
      <c r="D58" s="15"/>
      <c r="E58" s="14"/>
      <c r="F58" s="16"/>
      <c r="G58" s="17"/>
      <c r="H58" s="16"/>
    </row>
    <row r="59" spans="1:8" x14ac:dyDescent="0.15">
      <c r="A59" s="13"/>
      <c r="B59" s="14"/>
      <c r="C59" s="14"/>
      <c r="D59" s="15"/>
      <c r="E59" s="14"/>
      <c r="F59" s="16"/>
      <c r="G59" s="17"/>
      <c r="H59" s="16"/>
    </row>
    <row r="60" spans="1:8" x14ac:dyDescent="0.15">
      <c r="A60" s="13"/>
      <c r="B60" s="14"/>
      <c r="C60" s="14"/>
      <c r="D60" s="15"/>
      <c r="E60" s="14"/>
      <c r="F60" s="16"/>
      <c r="G60" s="17"/>
      <c r="H60" s="16"/>
    </row>
    <row r="61" spans="1:8" x14ac:dyDescent="0.15">
      <c r="A61" s="13"/>
      <c r="B61" s="14"/>
      <c r="C61" s="14"/>
      <c r="D61" s="15"/>
      <c r="E61" s="14"/>
      <c r="F61" s="16"/>
      <c r="G61" s="17"/>
      <c r="H61" s="16"/>
    </row>
    <row r="62" spans="1:8" x14ac:dyDescent="0.15">
      <c r="A62" s="13"/>
      <c r="B62" s="14"/>
      <c r="C62" s="14"/>
      <c r="D62" s="15"/>
      <c r="E62" s="14"/>
      <c r="F62" s="16"/>
      <c r="G62" s="17"/>
      <c r="H62" s="16"/>
    </row>
    <row r="63" spans="1:8" x14ac:dyDescent="0.15">
      <c r="A63" s="13"/>
      <c r="B63" s="14"/>
      <c r="C63" s="14"/>
      <c r="D63" s="15"/>
      <c r="E63" s="14"/>
      <c r="F63" s="16"/>
      <c r="G63" s="17"/>
      <c r="H63" s="16"/>
    </row>
    <row r="64" spans="1:8" x14ac:dyDescent="0.15">
      <c r="A64" s="13"/>
      <c r="B64" s="14"/>
      <c r="C64" s="14"/>
      <c r="D64" s="15"/>
      <c r="E64" s="14"/>
      <c r="F64" s="16"/>
      <c r="G64" s="17"/>
      <c r="H64" s="16"/>
    </row>
    <row r="65" spans="1:8" x14ac:dyDescent="0.15">
      <c r="A65" s="13"/>
      <c r="B65" s="14"/>
      <c r="C65" s="14"/>
      <c r="D65" s="15"/>
      <c r="E65" s="14"/>
      <c r="F65" s="16"/>
      <c r="G65" s="17"/>
      <c r="H65" s="16"/>
    </row>
    <row r="66" spans="1:8" x14ac:dyDescent="0.15">
      <c r="A66" s="13"/>
      <c r="B66" s="14"/>
      <c r="C66" s="14"/>
      <c r="D66" s="15"/>
      <c r="E66" s="14"/>
      <c r="F66" s="16"/>
      <c r="G66" s="17"/>
      <c r="H66" s="16"/>
    </row>
    <row r="1048574" ht="12.75" customHeight="1" x14ac:dyDescent="0.15"/>
    <row r="1048575" ht="12.75" customHeight="1" x14ac:dyDescent="0.15"/>
  </sheetData>
  <autoFilter ref="A3:H143" xr:uid="{00000000-0009-0000-0000-000007000000}"/>
  <mergeCells count="2">
    <mergeCell ref="A1:G1"/>
    <mergeCell ref="A24:H24"/>
  </mergeCells>
  <conditionalFormatting sqref="A22:G63 A4:G20">
    <cfRule type="cellIs" dxfId="43" priority="6" operator="equal">
      <formula>"A"</formula>
    </cfRule>
    <cfRule type="expression" dxfId="42" priority="7">
      <formula>$F4="A"</formula>
    </cfRule>
    <cfRule type="expression" dxfId="41" priority="8">
      <formula>$F4="B"</formula>
    </cfRule>
    <cfRule type="expression" dxfId="40" priority="9">
      <formula>$F4="C"</formula>
    </cfRule>
  </conditionalFormatting>
  <conditionalFormatting sqref="A21:G21">
    <cfRule type="cellIs" dxfId="39" priority="1" operator="equal">
      <formula>"A"</formula>
    </cfRule>
    <cfRule type="expression" dxfId="38" priority="2">
      <formula>$F21="A"</formula>
    </cfRule>
    <cfRule type="expression" dxfId="37" priority="3">
      <formula>$F21="B"</formula>
    </cfRule>
    <cfRule type="expression" dxfId="36" priority="4">
      <formula>$F21="C"</formula>
    </cfRule>
  </conditionalFormatting>
  <dataValidations count="3">
    <dataValidation type="list" allowBlank="1" sqref="F4:F143" xr:uid="{00000000-0002-0000-0700-000000000000}">
      <formula1>"A,B,C,—"</formula1>
      <formula2>0</formula2>
    </dataValidation>
    <dataValidation type="list" allowBlank="1" sqref="E4:E143" xr:uid="{00000000-0002-0000-0700-000001000000}">
      <formula1>"SDD,Accredito,Bancomat,CC moglie,Contanti,Buoni pasto,Gift card,Altro"</formula1>
      <formula2>0</formula2>
    </dataValidation>
    <dataValidation type="list" allowBlank="1" sqref="H4:H143" xr:uid="{00000000-0002-0000-0700-000002000000}">
      <formula1>"Sì,No"</formula1>
      <formula2>0</formula2>
    </dataValidation>
  </dataValidations>
  <printOptions gridLines="1"/>
  <pageMargins left="0.7" right="0.7" top="0.75" bottom="0.75" header="0.511811023622047" footer="0.511811023622047"/>
  <pageSetup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1048576"/>
  <sheetViews>
    <sheetView showGridLines="0" zoomScale="125" zoomScaleNormal="125" workbookViewId="0">
      <pane ySplit="3" topLeftCell="A4" activePane="bottomLeft" state="frozen"/>
      <selection pane="bottomLeft" activeCell="A22" sqref="A22:XFD22"/>
    </sheetView>
  </sheetViews>
  <sheetFormatPr baseColWidth="10" defaultColWidth="9.83203125" defaultRowHeight="15" customHeight="1" x14ac:dyDescent="0.15"/>
  <cols>
    <col min="1" max="1" width="13.6640625" customWidth="1"/>
    <col min="2" max="2" width="15.83203125" customWidth="1"/>
    <col min="3" max="3" width="43.1640625" customWidth="1"/>
    <col min="4" max="5" width="15.83203125" customWidth="1"/>
    <col min="6" max="6" width="9" customWidth="1"/>
    <col min="7" max="7" width="45.5" customWidth="1"/>
    <col min="8" max="8" width="11.33203125" customWidth="1"/>
    <col min="10" max="10" width="20.5" customWidth="1"/>
    <col min="11" max="11" width="18.1640625" customWidth="1"/>
  </cols>
  <sheetData>
    <row r="1" spans="1:11" ht="27.75" customHeight="1" x14ac:dyDescent="0.15">
      <c r="A1" s="2" t="s">
        <v>118</v>
      </c>
      <c r="B1" s="2"/>
      <c r="C1" s="2"/>
      <c r="D1" s="2"/>
      <c r="E1" s="2"/>
      <c r="F1" s="2"/>
      <c r="G1" s="2"/>
    </row>
    <row r="2" spans="1:11" ht="14" x14ac:dyDescent="0.15">
      <c r="F2" s="11"/>
      <c r="G2" s="10"/>
      <c r="J2" s="11" t="s">
        <v>52</v>
      </c>
      <c r="K2" s="10">
        <f>SUMIF($A:$A,"&lt;&gt;",$D:$D)</f>
        <v>-866.52</v>
      </c>
    </row>
    <row r="3" spans="1:11" ht="24" customHeight="1" x14ac:dyDescent="0.15">
      <c r="A3" s="12" t="s">
        <v>53</v>
      </c>
      <c r="B3" s="12" t="s">
        <v>54</v>
      </c>
      <c r="C3" s="12" t="s">
        <v>55</v>
      </c>
      <c r="D3" s="12" t="s">
        <v>56</v>
      </c>
      <c r="E3" s="12" t="s">
        <v>57</v>
      </c>
      <c r="F3" s="12" t="s">
        <v>14</v>
      </c>
      <c r="G3" s="12" t="s">
        <v>58</v>
      </c>
      <c r="H3" s="12" t="s">
        <v>26</v>
      </c>
      <c r="J3" s="11" t="s">
        <v>59</v>
      </c>
      <c r="K3" s="10">
        <f>'06-Jun'!$K$3+$K$2</f>
        <v>2035.3899999999999</v>
      </c>
    </row>
    <row r="4" spans="1:11" ht="18" customHeight="1" x14ac:dyDescent="0.15">
      <c r="A4" s="13">
        <v>46204</v>
      </c>
      <c r="B4" s="14" t="s">
        <v>60</v>
      </c>
      <c r="C4" s="14" t="s">
        <v>61</v>
      </c>
      <c r="D4" s="15">
        <v>-742</v>
      </c>
      <c r="E4" s="14" t="s">
        <v>62</v>
      </c>
      <c r="F4" s="16" t="s">
        <v>16</v>
      </c>
      <c r="G4" s="17" t="s">
        <v>63</v>
      </c>
      <c r="H4" s="16"/>
    </row>
    <row r="5" spans="1:11" ht="18" customHeight="1" x14ac:dyDescent="0.15">
      <c r="A5" s="13">
        <v>46204</v>
      </c>
      <c r="B5" s="14" t="s">
        <v>65</v>
      </c>
      <c r="C5" s="14" t="s">
        <v>66</v>
      </c>
      <c r="D5" s="15">
        <v>-38</v>
      </c>
      <c r="E5" s="14" t="s">
        <v>62</v>
      </c>
      <c r="F5" s="16" t="s">
        <v>18</v>
      </c>
      <c r="G5" s="17" t="s">
        <v>67</v>
      </c>
      <c r="H5" s="16"/>
    </row>
    <row r="6" spans="1:11" ht="18" customHeight="1" x14ac:dyDescent="0.15">
      <c r="A6" s="13">
        <v>46205</v>
      </c>
      <c r="B6" s="14" t="s">
        <v>69</v>
      </c>
      <c r="C6" s="14" t="s">
        <v>70</v>
      </c>
      <c r="D6" s="15">
        <v>-6.99</v>
      </c>
      <c r="E6" s="14" t="s">
        <v>62</v>
      </c>
      <c r="F6" s="16" t="s">
        <v>18</v>
      </c>
      <c r="G6" s="17" t="s">
        <v>71</v>
      </c>
      <c r="H6" s="16"/>
    </row>
    <row r="7" spans="1:11" ht="18" customHeight="1" x14ac:dyDescent="0.15">
      <c r="A7" s="13">
        <v>46207</v>
      </c>
      <c r="B7" s="14" t="s">
        <v>76</v>
      </c>
      <c r="C7" s="14" t="s">
        <v>77</v>
      </c>
      <c r="D7" s="15">
        <v>-170</v>
      </c>
      <c r="E7" s="14" t="s">
        <v>82</v>
      </c>
      <c r="F7" s="16" t="s">
        <v>18</v>
      </c>
      <c r="G7" s="17"/>
      <c r="H7" s="16"/>
    </row>
    <row r="8" spans="1:11" ht="18" customHeight="1" x14ac:dyDescent="0.15">
      <c r="A8" s="13">
        <v>46212</v>
      </c>
      <c r="B8" s="14" t="s">
        <v>65</v>
      </c>
      <c r="C8" s="14" t="s">
        <v>81</v>
      </c>
      <c r="D8" s="15">
        <v>-6.99</v>
      </c>
      <c r="E8" s="14" t="s">
        <v>82</v>
      </c>
      <c r="F8" s="16" t="s">
        <v>20</v>
      </c>
      <c r="G8" s="17"/>
      <c r="H8" s="16"/>
    </row>
    <row r="9" spans="1:11" ht="18" customHeight="1" x14ac:dyDescent="0.15">
      <c r="A9" s="13">
        <v>46213</v>
      </c>
      <c r="B9" s="14" t="s">
        <v>65</v>
      </c>
      <c r="C9" s="14" t="s">
        <v>83</v>
      </c>
      <c r="D9" s="15">
        <v>-6.99</v>
      </c>
      <c r="E9" s="14" t="s">
        <v>82</v>
      </c>
      <c r="F9" s="16" t="s">
        <v>20</v>
      </c>
      <c r="G9" s="17"/>
      <c r="H9" s="16"/>
    </row>
    <row r="10" spans="1:11" ht="18" customHeight="1" x14ac:dyDescent="0.15">
      <c r="A10" s="13">
        <v>46214</v>
      </c>
      <c r="B10" s="14" t="s">
        <v>76</v>
      </c>
      <c r="C10" s="14" t="s">
        <v>77</v>
      </c>
      <c r="D10" s="15">
        <v>-170</v>
      </c>
      <c r="E10" s="14" t="s">
        <v>82</v>
      </c>
      <c r="F10" s="16" t="s">
        <v>18</v>
      </c>
      <c r="G10" s="17"/>
      <c r="H10" s="16"/>
    </row>
    <row r="11" spans="1:11" ht="18" customHeight="1" x14ac:dyDescent="0.15">
      <c r="A11" s="13">
        <v>46218</v>
      </c>
      <c r="B11" s="14" t="s">
        <v>60</v>
      </c>
      <c r="C11" s="14" t="s">
        <v>84</v>
      </c>
      <c r="D11" s="15">
        <v>-218</v>
      </c>
      <c r="E11" s="14" t="s">
        <v>62</v>
      </c>
      <c r="F11" s="16" t="s">
        <v>16</v>
      </c>
      <c r="G11" s="17" t="s">
        <v>85</v>
      </c>
      <c r="H11" s="16"/>
    </row>
    <row r="12" spans="1:11" ht="18" customHeight="1" x14ac:dyDescent="0.15">
      <c r="A12" s="13">
        <v>46218</v>
      </c>
      <c r="B12" s="14" t="s">
        <v>60</v>
      </c>
      <c r="C12" s="14" t="s">
        <v>96</v>
      </c>
      <c r="D12" s="15">
        <v>-545</v>
      </c>
      <c r="E12" s="14" t="s">
        <v>62</v>
      </c>
      <c r="F12" s="16" t="s">
        <v>16</v>
      </c>
      <c r="G12" s="17" t="s">
        <v>108</v>
      </c>
      <c r="H12" s="16"/>
    </row>
    <row r="13" spans="1:11" ht="18" customHeight="1" x14ac:dyDescent="0.15">
      <c r="A13" s="13">
        <v>46218</v>
      </c>
      <c r="B13" s="14" t="s">
        <v>69</v>
      </c>
      <c r="C13" s="14" t="s">
        <v>86</v>
      </c>
      <c r="D13" s="15">
        <v>-31</v>
      </c>
      <c r="E13" s="14" t="s">
        <v>62</v>
      </c>
      <c r="F13" s="16" t="s">
        <v>18</v>
      </c>
      <c r="G13" s="17" t="s">
        <v>71</v>
      </c>
      <c r="H13" s="16"/>
    </row>
    <row r="14" spans="1:11" ht="18" customHeight="1" x14ac:dyDescent="0.15">
      <c r="A14" s="13">
        <v>46218</v>
      </c>
      <c r="B14" s="14" t="s">
        <v>69</v>
      </c>
      <c r="C14" s="14" t="s">
        <v>87</v>
      </c>
      <c r="D14" s="15">
        <v>-6.99</v>
      </c>
      <c r="E14" s="14" t="s">
        <v>62</v>
      </c>
      <c r="F14" s="16" t="s">
        <v>18</v>
      </c>
      <c r="G14" s="17" t="s">
        <v>71</v>
      </c>
      <c r="H14" s="16"/>
    </row>
    <row r="15" spans="1:11" ht="18" customHeight="1" x14ac:dyDescent="0.15">
      <c r="A15" s="13">
        <v>46218</v>
      </c>
      <c r="B15" s="14" t="s">
        <v>69</v>
      </c>
      <c r="C15" s="14" t="s">
        <v>105</v>
      </c>
      <c r="D15" s="15">
        <v>-120</v>
      </c>
      <c r="E15" s="14" t="s">
        <v>62</v>
      </c>
      <c r="F15" s="16" t="s">
        <v>18</v>
      </c>
      <c r="G15" s="17" t="s">
        <v>106</v>
      </c>
      <c r="H15" s="16"/>
    </row>
    <row r="16" spans="1:11" ht="18" customHeight="1" x14ac:dyDescent="0.15">
      <c r="A16" s="13">
        <v>46218</v>
      </c>
      <c r="B16" s="14" t="s">
        <v>69</v>
      </c>
      <c r="C16" s="14" t="s">
        <v>107</v>
      </c>
      <c r="D16" s="15">
        <v>-20</v>
      </c>
      <c r="E16" s="14" t="s">
        <v>62</v>
      </c>
      <c r="F16" s="16" t="s">
        <v>18</v>
      </c>
      <c r="G16" s="17" t="s">
        <v>106</v>
      </c>
      <c r="H16" s="16"/>
    </row>
    <row r="17" spans="1:8" ht="18" customHeight="1" x14ac:dyDescent="0.15">
      <c r="A17" s="13">
        <v>46221</v>
      </c>
      <c r="B17" s="14" t="s">
        <v>76</v>
      </c>
      <c r="C17" s="14" t="s">
        <v>77</v>
      </c>
      <c r="D17" s="15">
        <v>-170</v>
      </c>
      <c r="E17" s="14" t="s">
        <v>82</v>
      </c>
      <c r="F17" s="16" t="s">
        <v>18</v>
      </c>
      <c r="G17" s="17"/>
      <c r="H17" s="16"/>
    </row>
    <row r="18" spans="1:8" ht="19.5" customHeight="1" x14ac:dyDescent="0.15">
      <c r="A18" s="13">
        <v>46224</v>
      </c>
      <c r="B18" s="14" t="s">
        <v>98</v>
      </c>
      <c r="C18" s="14" t="s">
        <v>99</v>
      </c>
      <c r="D18" s="15">
        <v>-154</v>
      </c>
      <c r="E18" s="14" t="s">
        <v>62</v>
      </c>
      <c r="F18" s="16" t="s">
        <v>18</v>
      </c>
      <c r="G18" s="17" t="s">
        <v>100</v>
      </c>
      <c r="H18" s="16"/>
    </row>
    <row r="19" spans="1:8" ht="18" customHeight="1" x14ac:dyDescent="0.15">
      <c r="A19" s="13">
        <v>46228</v>
      </c>
      <c r="B19" s="14" t="s">
        <v>76</v>
      </c>
      <c r="C19" s="14" t="s">
        <v>77</v>
      </c>
      <c r="D19" s="15">
        <v>-170</v>
      </c>
      <c r="E19" s="14" t="s">
        <v>82</v>
      </c>
      <c r="F19" s="16" t="s">
        <v>18</v>
      </c>
      <c r="G19" s="17"/>
      <c r="H19" s="16"/>
    </row>
    <row r="20" spans="1:8" ht="18" customHeight="1" x14ac:dyDescent="0.15">
      <c r="A20" s="13">
        <v>46229</v>
      </c>
      <c r="B20" s="14" t="s">
        <v>88</v>
      </c>
      <c r="C20" s="14" t="s">
        <v>89</v>
      </c>
      <c r="D20" s="15">
        <v>-125.56</v>
      </c>
      <c r="E20" s="14" t="s">
        <v>82</v>
      </c>
      <c r="F20" s="16" t="s">
        <v>16</v>
      </c>
      <c r="G20" s="17" t="s">
        <v>90</v>
      </c>
      <c r="H20" s="16"/>
    </row>
    <row r="21" spans="1:8" ht="18" customHeight="1" x14ac:dyDescent="0.15">
      <c r="A21" s="13">
        <v>46230</v>
      </c>
      <c r="B21" s="14" t="s">
        <v>91</v>
      </c>
      <c r="C21" s="14" t="s">
        <v>92</v>
      </c>
      <c r="D21" s="15">
        <v>2380</v>
      </c>
      <c r="E21" s="14" t="s">
        <v>93</v>
      </c>
      <c r="F21" s="16" t="s">
        <v>94</v>
      </c>
      <c r="G21" s="17" t="s">
        <v>95</v>
      </c>
      <c r="H21" s="16"/>
    </row>
    <row r="22" spans="1:8" ht="18" customHeight="1" x14ac:dyDescent="0.15">
      <c r="A22" s="13">
        <v>46231</v>
      </c>
      <c r="B22" s="14" t="s">
        <v>60</v>
      </c>
      <c r="C22" s="14" t="s">
        <v>96</v>
      </c>
      <c r="D22" s="15">
        <v>-545</v>
      </c>
      <c r="E22" s="14" t="s">
        <v>62</v>
      </c>
      <c r="F22" s="16" t="s">
        <v>16</v>
      </c>
      <c r="G22" s="17" t="s">
        <v>97</v>
      </c>
      <c r="H22" s="16"/>
    </row>
    <row r="23" spans="1:8" ht="18" customHeight="1" x14ac:dyDescent="0.15">
      <c r="A23" s="13">
        <v>46234</v>
      </c>
      <c r="B23" s="14" t="s">
        <v>102</v>
      </c>
      <c r="C23" s="14" t="s">
        <v>103</v>
      </c>
      <c r="D23" s="15">
        <f>-(0)</f>
        <v>0</v>
      </c>
      <c r="E23" s="14" t="s">
        <v>82</v>
      </c>
      <c r="F23" s="16" t="s">
        <v>16</v>
      </c>
      <c r="G23" s="17" t="s">
        <v>112</v>
      </c>
      <c r="H23" s="16"/>
    </row>
    <row r="24" spans="1:8" x14ac:dyDescent="0.2">
      <c r="A24" s="13"/>
      <c r="B24" s="18"/>
      <c r="C24" s="18"/>
      <c r="D24" s="18"/>
      <c r="E24" s="18"/>
      <c r="F24" s="18"/>
      <c r="G24" s="19"/>
      <c r="H24" s="16"/>
    </row>
    <row r="25" spans="1:8" ht="16.5" customHeight="1" x14ac:dyDescent="0.15">
      <c r="A25" s="1"/>
      <c r="B25" s="1"/>
      <c r="C25" s="1"/>
      <c r="D25" s="1"/>
      <c r="E25" s="1"/>
      <c r="F25" s="1"/>
      <c r="G25" s="1"/>
      <c r="H25" s="1"/>
    </row>
    <row r="26" spans="1:8" x14ac:dyDescent="0.15">
      <c r="A26" s="13"/>
      <c r="B26" s="14"/>
      <c r="C26" s="14"/>
      <c r="D26" s="15"/>
      <c r="E26" s="14"/>
      <c r="F26" s="16"/>
      <c r="G26" s="17"/>
      <c r="H26" s="16"/>
    </row>
    <row r="27" spans="1:8" x14ac:dyDescent="0.15">
      <c r="A27" s="13"/>
      <c r="B27" s="14"/>
      <c r="C27" s="14"/>
      <c r="D27" s="15"/>
      <c r="E27" s="14"/>
      <c r="F27" s="16"/>
      <c r="G27" s="17"/>
      <c r="H27" s="16"/>
    </row>
    <row r="28" spans="1:8" x14ac:dyDescent="0.15">
      <c r="A28" s="13"/>
      <c r="B28" s="14"/>
      <c r="C28" s="14"/>
      <c r="D28" s="15"/>
      <c r="E28" s="14"/>
      <c r="F28" s="16"/>
      <c r="G28" s="17"/>
      <c r="H28" s="16"/>
    </row>
    <row r="29" spans="1:8" x14ac:dyDescent="0.15">
      <c r="A29" s="13"/>
      <c r="B29" s="14"/>
      <c r="C29" s="14"/>
      <c r="D29" s="15"/>
      <c r="E29" s="14"/>
      <c r="F29" s="16"/>
      <c r="G29" s="17"/>
      <c r="H29" s="16"/>
    </row>
    <row r="30" spans="1:8" x14ac:dyDescent="0.15">
      <c r="A30" s="13"/>
      <c r="B30" s="14"/>
      <c r="C30" s="14"/>
      <c r="D30" s="15"/>
      <c r="E30" s="14"/>
      <c r="F30" s="16"/>
      <c r="G30" s="17"/>
      <c r="H30" s="16"/>
    </row>
    <row r="31" spans="1:8" x14ac:dyDescent="0.15">
      <c r="A31" s="13"/>
      <c r="B31" s="14"/>
      <c r="C31" s="14"/>
      <c r="D31" s="15"/>
      <c r="E31" s="14"/>
      <c r="F31" s="16"/>
      <c r="G31" s="17"/>
      <c r="H31" s="16"/>
    </row>
    <row r="32" spans="1:8" x14ac:dyDescent="0.15">
      <c r="A32" s="13"/>
      <c r="B32" s="14"/>
      <c r="C32" s="14"/>
      <c r="D32" s="15"/>
      <c r="E32" s="14"/>
      <c r="F32" s="16"/>
      <c r="G32" s="17"/>
      <c r="H32" s="16"/>
    </row>
    <row r="33" spans="1:8" x14ac:dyDescent="0.15">
      <c r="A33" s="13"/>
      <c r="B33" s="14"/>
      <c r="C33" s="14"/>
      <c r="D33" s="15"/>
      <c r="E33" s="14"/>
      <c r="F33" s="16"/>
      <c r="G33" s="17"/>
      <c r="H33" s="16"/>
    </row>
    <row r="34" spans="1:8" x14ac:dyDescent="0.15">
      <c r="A34" s="13"/>
      <c r="B34" s="14"/>
      <c r="C34" s="14"/>
      <c r="D34" s="15"/>
      <c r="E34" s="14"/>
      <c r="F34" s="16"/>
      <c r="G34" s="17"/>
      <c r="H34" s="16"/>
    </row>
    <row r="35" spans="1:8" x14ac:dyDescent="0.15">
      <c r="A35" s="13"/>
      <c r="B35" s="14"/>
      <c r="C35" s="14"/>
      <c r="D35" s="15"/>
      <c r="E35" s="14"/>
      <c r="F35" s="16"/>
      <c r="G35" s="17"/>
      <c r="H35" s="16"/>
    </row>
    <row r="36" spans="1:8" x14ac:dyDescent="0.15">
      <c r="A36" s="13"/>
      <c r="B36" s="14"/>
      <c r="C36" s="14"/>
      <c r="D36" s="15"/>
      <c r="E36" s="14"/>
      <c r="F36" s="16"/>
      <c r="G36" s="17"/>
      <c r="H36" s="16"/>
    </row>
    <row r="37" spans="1:8" x14ac:dyDescent="0.15">
      <c r="A37" s="13"/>
      <c r="B37" s="14"/>
      <c r="C37" s="14"/>
      <c r="D37" s="15"/>
      <c r="E37" s="14"/>
      <c r="F37" s="16"/>
      <c r="G37" s="17"/>
      <c r="H37" s="16"/>
    </row>
    <row r="38" spans="1:8" x14ac:dyDescent="0.15">
      <c r="A38" s="13"/>
      <c r="B38" s="14"/>
      <c r="C38" s="14"/>
      <c r="D38" s="15"/>
      <c r="E38" s="14"/>
      <c r="F38" s="16"/>
      <c r="G38" s="17"/>
      <c r="H38" s="16"/>
    </row>
    <row r="39" spans="1:8" x14ac:dyDescent="0.15">
      <c r="A39" s="13"/>
      <c r="B39" s="14"/>
      <c r="C39" s="14"/>
      <c r="D39" s="15"/>
      <c r="E39" s="14"/>
      <c r="F39" s="16"/>
      <c r="G39" s="17"/>
      <c r="H39" s="16"/>
    </row>
    <row r="40" spans="1:8" x14ac:dyDescent="0.15">
      <c r="A40" s="13"/>
      <c r="B40" s="14"/>
      <c r="C40" s="14"/>
      <c r="D40" s="15"/>
      <c r="E40" s="14"/>
      <c r="F40" s="16"/>
      <c r="G40" s="17"/>
      <c r="H40" s="16"/>
    </row>
    <row r="41" spans="1:8" x14ac:dyDescent="0.15">
      <c r="A41" s="13"/>
      <c r="B41" s="14"/>
      <c r="C41" s="14"/>
      <c r="D41" s="15"/>
      <c r="E41" s="14"/>
      <c r="F41" s="16"/>
      <c r="G41" s="17"/>
      <c r="H41" s="16"/>
    </row>
    <row r="42" spans="1:8" x14ac:dyDescent="0.15">
      <c r="A42" s="13"/>
      <c r="B42" s="14"/>
      <c r="C42" s="14"/>
      <c r="D42" s="15"/>
      <c r="E42" s="14"/>
      <c r="F42" s="16"/>
      <c r="G42" s="17"/>
      <c r="H42" s="16"/>
    </row>
    <row r="43" spans="1:8" x14ac:dyDescent="0.15">
      <c r="A43" s="13"/>
      <c r="B43" s="14"/>
      <c r="C43" s="14"/>
      <c r="D43" s="15"/>
      <c r="E43" s="14"/>
      <c r="F43" s="16"/>
      <c r="G43" s="17"/>
      <c r="H43" s="16"/>
    </row>
    <row r="44" spans="1:8" x14ac:dyDescent="0.15">
      <c r="A44" s="13"/>
      <c r="B44" s="14"/>
      <c r="C44" s="14"/>
      <c r="D44" s="15"/>
      <c r="E44" s="14"/>
      <c r="F44" s="16"/>
      <c r="G44" s="17"/>
      <c r="H44" s="16"/>
    </row>
    <row r="45" spans="1:8" x14ac:dyDescent="0.15">
      <c r="A45" s="13"/>
      <c r="B45" s="14"/>
      <c r="C45" s="14"/>
      <c r="D45" s="15"/>
      <c r="E45" s="14"/>
      <c r="F45" s="16"/>
      <c r="G45" s="17"/>
      <c r="H45" s="16"/>
    </row>
    <row r="46" spans="1:8" x14ac:dyDescent="0.15">
      <c r="A46" s="13"/>
      <c r="B46" s="14"/>
      <c r="C46" s="14"/>
      <c r="D46" s="15"/>
      <c r="E46" s="14"/>
      <c r="F46" s="16"/>
      <c r="G46" s="17"/>
      <c r="H46" s="16"/>
    </row>
    <row r="47" spans="1:8" x14ac:dyDescent="0.15">
      <c r="A47" s="13"/>
      <c r="B47" s="14"/>
      <c r="C47" s="14"/>
      <c r="D47" s="15"/>
      <c r="E47" s="14"/>
      <c r="F47" s="16"/>
      <c r="G47" s="17"/>
      <c r="H47" s="16"/>
    </row>
    <row r="48" spans="1:8" x14ac:dyDescent="0.15">
      <c r="A48" s="13"/>
      <c r="B48" s="14"/>
      <c r="C48" s="14"/>
      <c r="D48" s="15"/>
      <c r="E48" s="14"/>
      <c r="F48" s="16"/>
      <c r="G48" s="17"/>
      <c r="H48" s="16"/>
    </row>
    <row r="49" spans="1:8" x14ac:dyDescent="0.15">
      <c r="A49" s="13"/>
      <c r="B49" s="14"/>
      <c r="C49" s="14"/>
      <c r="D49" s="15"/>
      <c r="E49" s="14"/>
      <c r="F49" s="16"/>
      <c r="G49" s="17"/>
      <c r="H49" s="16"/>
    </row>
    <row r="50" spans="1:8" x14ac:dyDescent="0.15">
      <c r="A50" s="13"/>
      <c r="B50" s="14"/>
      <c r="C50" s="14"/>
      <c r="D50" s="15"/>
      <c r="E50" s="14"/>
      <c r="F50" s="16"/>
      <c r="G50" s="17"/>
      <c r="H50" s="16"/>
    </row>
    <row r="51" spans="1:8" x14ac:dyDescent="0.15">
      <c r="A51" s="13"/>
      <c r="B51" s="14"/>
      <c r="C51" s="14"/>
      <c r="D51" s="15"/>
      <c r="E51" s="14"/>
      <c r="F51" s="16"/>
      <c r="G51" s="17"/>
      <c r="H51" s="16"/>
    </row>
    <row r="52" spans="1:8" x14ac:dyDescent="0.15">
      <c r="A52" s="13"/>
      <c r="B52" s="14"/>
      <c r="C52" s="14"/>
      <c r="D52" s="15"/>
      <c r="E52" s="14"/>
      <c r="F52" s="16"/>
      <c r="G52" s="17"/>
      <c r="H52" s="16"/>
    </row>
    <row r="53" spans="1:8" x14ac:dyDescent="0.15">
      <c r="A53" s="13"/>
      <c r="B53" s="14"/>
      <c r="C53" s="14"/>
      <c r="D53" s="15"/>
      <c r="E53" s="14"/>
      <c r="F53" s="16"/>
      <c r="G53" s="17"/>
      <c r="H53" s="16"/>
    </row>
    <row r="54" spans="1:8" x14ac:dyDescent="0.15">
      <c r="A54" s="13"/>
      <c r="B54" s="14"/>
      <c r="C54" s="14"/>
      <c r="D54" s="15"/>
      <c r="E54" s="14"/>
      <c r="F54" s="16"/>
      <c r="G54" s="17"/>
      <c r="H54" s="16"/>
    </row>
    <row r="55" spans="1:8" x14ac:dyDescent="0.15">
      <c r="A55" s="13"/>
      <c r="B55" s="14"/>
      <c r="C55" s="14"/>
      <c r="D55" s="15"/>
      <c r="E55" s="14"/>
      <c r="F55" s="16"/>
      <c r="G55" s="17"/>
      <c r="H55" s="16"/>
    </row>
    <row r="56" spans="1:8" x14ac:dyDescent="0.15">
      <c r="A56" s="13"/>
      <c r="B56" s="14"/>
      <c r="C56" s="14"/>
      <c r="D56" s="15"/>
      <c r="E56" s="14"/>
      <c r="F56" s="16"/>
      <c r="G56" s="17"/>
      <c r="H56" s="16"/>
    </row>
    <row r="57" spans="1:8" x14ac:dyDescent="0.15">
      <c r="A57" s="13"/>
      <c r="B57" s="14"/>
      <c r="C57" s="14"/>
      <c r="D57" s="15"/>
      <c r="E57" s="14"/>
      <c r="F57" s="16"/>
      <c r="G57" s="17"/>
      <c r="H57" s="16"/>
    </row>
    <row r="58" spans="1:8" x14ac:dyDescent="0.15">
      <c r="A58" s="13"/>
      <c r="B58" s="14"/>
      <c r="C58" s="14"/>
      <c r="D58" s="15"/>
      <c r="E58" s="14"/>
      <c r="F58" s="16"/>
      <c r="G58" s="17"/>
      <c r="H58" s="16"/>
    </row>
    <row r="59" spans="1:8" x14ac:dyDescent="0.15">
      <c r="A59" s="13"/>
      <c r="B59" s="14"/>
      <c r="C59" s="14"/>
      <c r="D59" s="15"/>
      <c r="E59" s="14"/>
      <c r="F59" s="16"/>
      <c r="G59" s="17"/>
      <c r="H59" s="16"/>
    </row>
    <row r="60" spans="1:8" x14ac:dyDescent="0.15">
      <c r="A60" s="13"/>
      <c r="B60" s="14"/>
      <c r="C60" s="14"/>
      <c r="D60" s="15"/>
      <c r="E60" s="14"/>
      <c r="F60" s="16"/>
      <c r="G60" s="17"/>
      <c r="H60" s="16"/>
    </row>
    <row r="61" spans="1:8" x14ac:dyDescent="0.15">
      <c r="A61" s="13"/>
      <c r="B61" s="14"/>
      <c r="C61" s="14"/>
      <c r="D61" s="15"/>
      <c r="E61" s="14"/>
      <c r="F61" s="16"/>
      <c r="G61" s="17"/>
      <c r="H61" s="16"/>
    </row>
    <row r="62" spans="1:8" x14ac:dyDescent="0.15">
      <c r="A62" s="13"/>
      <c r="B62" s="14"/>
      <c r="C62" s="14"/>
      <c r="D62" s="15"/>
      <c r="E62" s="14"/>
      <c r="F62" s="16"/>
      <c r="G62" s="17"/>
      <c r="H62" s="16"/>
    </row>
    <row r="63" spans="1:8" x14ac:dyDescent="0.15">
      <c r="A63" s="13"/>
      <c r="B63" s="14"/>
      <c r="C63" s="14"/>
      <c r="D63" s="15"/>
      <c r="E63" s="14"/>
      <c r="F63" s="16"/>
      <c r="G63" s="17"/>
      <c r="H63" s="16"/>
    </row>
    <row r="64" spans="1:8" x14ac:dyDescent="0.15">
      <c r="A64" s="13"/>
      <c r="B64" s="14"/>
      <c r="C64" s="14"/>
      <c r="D64" s="15"/>
      <c r="E64" s="14"/>
      <c r="F64" s="16"/>
      <c r="G64" s="17"/>
      <c r="H64" s="16"/>
    </row>
    <row r="65" spans="1:8" x14ac:dyDescent="0.15">
      <c r="A65" s="13"/>
      <c r="B65" s="14"/>
      <c r="C65" s="14"/>
      <c r="D65" s="15"/>
      <c r="E65" s="14"/>
      <c r="F65" s="16"/>
      <c r="G65" s="17"/>
      <c r="H65" s="16"/>
    </row>
    <row r="66" spans="1:8" x14ac:dyDescent="0.15">
      <c r="A66" s="13"/>
      <c r="B66" s="14"/>
      <c r="C66" s="14"/>
      <c r="D66" s="15"/>
      <c r="E66" s="14"/>
      <c r="F66" s="16"/>
      <c r="G66" s="17"/>
      <c r="H66" s="16"/>
    </row>
    <row r="67" spans="1:8" x14ac:dyDescent="0.15">
      <c r="A67" s="13"/>
      <c r="B67" s="14"/>
      <c r="C67" s="14"/>
      <c r="D67" s="15"/>
      <c r="E67" s="14"/>
      <c r="F67" s="16"/>
      <c r="G67" s="17"/>
      <c r="H67" s="16"/>
    </row>
    <row r="1048575" ht="12.75" customHeight="1" x14ac:dyDescent="0.15"/>
    <row r="1048576" ht="12.75" customHeight="1" x14ac:dyDescent="0.15"/>
  </sheetData>
  <autoFilter ref="A3:H144" xr:uid="{00000000-0009-0000-0000-000008000000}"/>
  <mergeCells count="2">
    <mergeCell ref="A1:G1"/>
    <mergeCell ref="A25:H25"/>
  </mergeCells>
  <conditionalFormatting sqref="A4:G21 A23:G64">
    <cfRule type="cellIs" dxfId="35" priority="6" operator="equal">
      <formula>"A"</formula>
    </cfRule>
    <cfRule type="expression" dxfId="34" priority="7">
      <formula>$F4="A"</formula>
    </cfRule>
    <cfRule type="expression" dxfId="33" priority="8">
      <formula>$F4="B"</formula>
    </cfRule>
    <cfRule type="expression" dxfId="32" priority="9">
      <formula>$F4="C"</formula>
    </cfRule>
  </conditionalFormatting>
  <conditionalFormatting sqref="A22:G22">
    <cfRule type="cellIs" dxfId="31" priority="1" operator="equal">
      <formula>"A"</formula>
    </cfRule>
    <cfRule type="expression" dxfId="30" priority="2">
      <formula>$F22="A"</formula>
    </cfRule>
    <cfRule type="expression" dxfId="29" priority="3">
      <formula>$F22="B"</formula>
    </cfRule>
    <cfRule type="expression" dxfId="28" priority="4">
      <formula>$F22="C"</formula>
    </cfRule>
  </conditionalFormatting>
  <dataValidations count="3">
    <dataValidation type="list" allowBlank="1" sqref="F4:F144" xr:uid="{00000000-0002-0000-0800-000000000000}">
      <formula1>"A,B,C,—"</formula1>
      <formula2>0</formula2>
    </dataValidation>
    <dataValidation type="list" allowBlank="1" sqref="E4:E144" xr:uid="{00000000-0002-0000-0800-000001000000}">
      <formula1>"SDD,Accredito,Bancomat,CC moglie,Contanti,Buoni pasto,Gift card,Altro"</formula1>
      <formula2>0</formula2>
    </dataValidation>
    <dataValidation type="list" allowBlank="1" sqref="H4:H144" xr:uid="{00000000-0002-0000-0800-000002000000}">
      <formula1>"Sì,No"</formula1>
      <formula2>0</formula2>
    </dataValidation>
  </dataValidations>
  <printOptions gridLines="1"/>
  <pageMargins left="0.7" right="0.7" top="0.75" bottom="0.75" header="0.511811023622047" footer="0.511811023622047"/>
  <pageSetup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1048575"/>
  <sheetViews>
    <sheetView showGridLines="0" zoomScale="125" zoomScaleNormal="125" workbookViewId="0">
      <pane ySplit="3" topLeftCell="A4" activePane="bottomLeft" state="frozen"/>
      <selection pane="bottomLeft" activeCell="A20" sqref="A20:XFD20"/>
    </sheetView>
  </sheetViews>
  <sheetFormatPr baseColWidth="10" defaultColWidth="9.83203125" defaultRowHeight="15" customHeight="1" x14ac:dyDescent="0.15"/>
  <cols>
    <col min="1" max="1" width="13.6640625" customWidth="1"/>
    <col min="2" max="2" width="15.83203125" customWidth="1"/>
    <col min="3" max="3" width="43.1640625" customWidth="1"/>
    <col min="4" max="5" width="15.83203125" customWidth="1"/>
    <col min="6" max="6" width="9" customWidth="1"/>
    <col min="7" max="7" width="45.5" customWidth="1"/>
    <col min="8" max="8" width="11.33203125" customWidth="1"/>
    <col min="10" max="10" width="20.5" customWidth="1"/>
    <col min="11" max="11" width="18.1640625" customWidth="1"/>
  </cols>
  <sheetData>
    <row r="1" spans="1:11" ht="27.75" customHeight="1" x14ac:dyDescent="0.15">
      <c r="A1" s="2" t="s">
        <v>119</v>
      </c>
      <c r="B1" s="2"/>
      <c r="C1" s="2"/>
      <c r="D1" s="2"/>
      <c r="E1" s="2"/>
      <c r="F1" s="2"/>
      <c r="G1" s="2"/>
    </row>
    <row r="2" spans="1:11" ht="14" x14ac:dyDescent="0.15">
      <c r="F2" s="11"/>
      <c r="G2" s="10"/>
      <c r="J2" s="11" t="s">
        <v>52</v>
      </c>
      <c r="K2" s="10">
        <f>SUMIF($A:$A,"&lt;&gt;",$D:$D)</f>
        <v>-233.70999999999998</v>
      </c>
    </row>
    <row r="3" spans="1:11" ht="24" customHeight="1" x14ac:dyDescent="0.15">
      <c r="A3" s="12" t="s">
        <v>53</v>
      </c>
      <c r="B3" s="12" t="s">
        <v>54</v>
      </c>
      <c r="C3" s="12" t="s">
        <v>55</v>
      </c>
      <c r="D3" s="12" t="s">
        <v>56</v>
      </c>
      <c r="E3" s="12" t="s">
        <v>57</v>
      </c>
      <c r="F3" s="12" t="s">
        <v>14</v>
      </c>
      <c r="G3" s="12" t="s">
        <v>58</v>
      </c>
      <c r="H3" s="12" t="s">
        <v>26</v>
      </c>
      <c r="J3" s="11" t="s">
        <v>59</v>
      </c>
      <c r="K3" s="10">
        <f>'07-Jul'!$K$3+$K$2</f>
        <v>1801.6799999999998</v>
      </c>
    </row>
    <row r="4" spans="1:11" ht="18" customHeight="1" x14ac:dyDescent="0.15">
      <c r="A4" s="13">
        <v>46235</v>
      </c>
      <c r="B4" s="14" t="s">
        <v>60</v>
      </c>
      <c r="C4" s="14" t="s">
        <v>61</v>
      </c>
      <c r="D4" s="15">
        <v>-742</v>
      </c>
      <c r="E4" s="14" t="s">
        <v>62</v>
      </c>
      <c r="F4" s="16" t="s">
        <v>16</v>
      </c>
      <c r="G4" s="17" t="s">
        <v>63</v>
      </c>
      <c r="H4" s="16"/>
    </row>
    <row r="5" spans="1:11" ht="18" customHeight="1" x14ac:dyDescent="0.15">
      <c r="A5" s="13">
        <v>46235</v>
      </c>
      <c r="B5" s="14" t="s">
        <v>65</v>
      </c>
      <c r="C5" s="14" t="s">
        <v>66</v>
      </c>
      <c r="D5" s="15">
        <v>-38</v>
      </c>
      <c r="E5" s="14" t="s">
        <v>62</v>
      </c>
      <c r="F5" s="16" t="s">
        <v>18</v>
      </c>
      <c r="G5" s="17" t="s">
        <v>67</v>
      </c>
      <c r="H5" s="16"/>
    </row>
    <row r="6" spans="1:11" ht="18" customHeight="1" x14ac:dyDescent="0.15">
      <c r="A6" s="13">
        <v>46235</v>
      </c>
      <c r="B6" s="14" t="s">
        <v>76</v>
      </c>
      <c r="C6" s="14" t="s">
        <v>77</v>
      </c>
      <c r="D6" s="15">
        <v>0</v>
      </c>
      <c r="E6" s="14" t="s">
        <v>101</v>
      </c>
      <c r="F6" s="16" t="s">
        <v>18</v>
      </c>
      <c r="G6" s="17"/>
      <c r="H6" s="16"/>
    </row>
    <row r="7" spans="1:11" ht="18" customHeight="1" x14ac:dyDescent="0.15">
      <c r="A7" s="13">
        <v>46236</v>
      </c>
      <c r="B7" s="14" t="s">
        <v>69</v>
      </c>
      <c r="C7" s="14" t="s">
        <v>70</v>
      </c>
      <c r="D7" s="15">
        <v>-6.99</v>
      </c>
      <c r="E7" s="14" t="s">
        <v>62</v>
      </c>
      <c r="F7" s="16" t="s">
        <v>18</v>
      </c>
      <c r="G7" s="17" t="s">
        <v>71</v>
      </c>
      <c r="H7" s="16"/>
    </row>
    <row r="8" spans="1:11" ht="18" customHeight="1" x14ac:dyDescent="0.15">
      <c r="A8" s="13">
        <v>46242</v>
      </c>
      <c r="B8" s="14" t="s">
        <v>76</v>
      </c>
      <c r="C8" s="14" t="s">
        <v>77</v>
      </c>
      <c r="D8" s="15">
        <v>-170</v>
      </c>
      <c r="E8" s="14" t="s">
        <v>82</v>
      </c>
      <c r="F8" s="16" t="s">
        <v>18</v>
      </c>
      <c r="G8" s="17"/>
      <c r="H8" s="16"/>
    </row>
    <row r="9" spans="1:11" ht="18" customHeight="1" x14ac:dyDescent="0.15">
      <c r="A9" s="13">
        <v>46243</v>
      </c>
      <c r="B9" s="14" t="s">
        <v>65</v>
      </c>
      <c r="C9" s="14" t="s">
        <v>81</v>
      </c>
      <c r="D9" s="15">
        <v>-6.99</v>
      </c>
      <c r="E9" s="14" t="s">
        <v>82</v>
      </c>
      <c r="F9" s="16" t="s">
        <v>20</v>
      </c>
      <c r="G9" s="17"/>
      <c r="H9" s="16"/>
    </row>
    <row r="10" spans="1:11" ht="18" customHeight="1" x14ac:dyDescent="0.15">
      <c r="A10" s="13">
        <v>46244</v>
      </c>
      <c r="B10" s="14" t="s">
        <v>65</v>
      </c>
      <c r="C10" s="14" t="s">
        <v>83</v>
      </c>
      <c r="D10" s="15">
        <v>-6.99</v>
      </c>
      <c r="E10" s="14" t="s">
        <v>82</v>
      </c>
      <c r="F10" s="16" t="s">
        <v>20</v>
      </c>
      <c r="G10" s="17"/>
      <c r="H10" s="16"/>
    </row>
    <row r="11" spans="1:11" ht="18" customHeight="1" x14ac:dyDescent="0.15">
      <c r="A11" s="13">
        <v>46249</v>
      </c>
      <c r="B11" s="14" t="s">
        <v>60</v>
      </c>
      <c r="C11" s="14" t="s">
        <v>84</v>
      </c>
      <c r="D11" s="15">
        <v>-218</v>
      </c>
      <c r="E11" s="14" t="s">
        <v>62</v>
      </c>
      <c r="F11" s="16" t="s">
        <v>16</v>
      </c>
      <c r="G11" s="17" t="s">
        <v>85</v>
      </c>
      <c r="H11" s="16"/>
    </row>
    <row r="12" spans="1:11" ht="18" customHeight="1" x14ac:dyDescent="0.15">
      <c r="A12" s="13">
        <v>46249</v>
      </c>
      <c r="B12" s="14" t="s">
        <v>69</v>
      </c>
      <c r="C12" s="14" t="s">
        <v>86</v>
      </c>
      <c r="D12" s="15">
        <v>-31</v>
      </c>
      <c r="E12" s="14" t="s">
        <v>62</v>
      </c>
      <c r="F12" s="16" t="s">
        <v>18</v>
      </c>
      <c r="G12" s="17" t="s">
        <v>71</v>
      </c>
      <c r="H12" s="16"/>
    </row>
    <row r="13" spans="1:11" ht="18" customHeight="1" x14ac:dyDescent="0.15">
      <c r="A13" s="13">
        <v>46249</v>
      </c>
      <c r="B13" s="14" t="s">
        <v>69</v>
      </c>
      <c r="C13" s="14" t="s">
        <v>87</v>
      </c>
      <c r="D13" s="15">
        <v>-6.99</v>
      </c>
      <c r="E13" s="14" t="s">
        <v>62</v>
      </c>
      <c r="F13" s="16" t="s">
        <v>18</v>
      </c>
      <c r="G13" s="17" t="s">
        <v>71</v>
      </c>
      <c r="H13" s="16"/>
    </row>
    <row r="14" spans="1:11" ht="18" customHeight="1" x14ac:dyDescent="0.15">
      <c r="A14" s="13">
        <v>46249</v>
      </c>
      <c r="B14" s="14" t="s">
        <v>69</v>
      </c>
      <c r="C14" s="14" t="s">
        <v>105</v>
      </c>
      <c r="D14" s="15">
        <v>-120</v>
      </c>
      <c r="E14" s="14" t="s">
        <v>62</v>
      </c>
      <c r="F14" s="16" t="s">
        <v>18</v>
      </c>
      <c r="G14" s="17" t="s">
        <v>106</v>
      </c>
      <c r="H14" s="16"/>
    </row>
    <row r="15" spans="1:11" ht="18" customHeight="1" x14ac:dyDescent="0.15">
      <c r="A15" s="13">
        <v>46249</v>
      </c>
      <c r="B15" s="14" t="s">
        <v>69</v>
      </c>
      <c r="C15" s="14" t="s">
        <v>107</v>
      </c>
      <c r="D15" s="15">
        <v>-20</v>
      </c>
      <c r="E15" s="14" t="s">
        <v>62</v>
      </c>
      <c r="F15" s="16" t="s">
        <v>18</v>
      </c>
      <c r="G15" s="17" t="s">
        <v>106</v>
      </c>
      <c r="H15" s="16"/>
    </row>
    <row r="16" spans="1:11" ht="18" customHeight="1" x14ac:dyDescent="0.15">
      <c r="A16" s="13">
        <v>46249</v>
      </c>
      <c r="B16" s="14" t="s">
        <v>76</v>
      </c>
      <c r="C16" s="14" t="s">
        <v>77</v>
      </c>
      <c r="D16" s="15">
        <v>-170</v>
      </c>
      <c r="E16" s="14" t="s">
        <v>82</v>
      </c>
      <c r="F16" s="16" t="s">
        <v>18</v>
      </c>
      <c r="G16" s="17"/>
      <c r="H16" s="16"/>
    </row>
    <row r="17" spans="1:8" ht="18" customHeight="1" x14ac:dyDescent="0.15">
      <c r="A17" s="13">
        <v>46256</v>
      </c>
      <c r="B17" s="14" t="s">
        <v>76</v>
      </c>
      <c r="C17" s="14" t="s">
        <v>77</v>
      </c>
      <c r="D17" s="15">
        <v>-170</v>
      </c>
      <c r="E17" s="14" t="s">
        <v>82</v>
      </c>
      <c r="F17" s="16" t="s">
        <v>18</v>
      </c>
      <c r="G17" s="17"/>
      <c r="H17" s="16"/>
    </row>
    <row r="18" spans="1:8" ht="19.5" customHeight="1" x14ac:dyDescent="0.15">
      <c r="A18" s="13">
        <v>46260</v>
      </c>
      <c r="B18" s="14" t="s">
        <v>88</v>
      </c>
      <c r="C18" s="14" t="s">
        <v>89</v>
      </c>
      <c r="D18" s="15">
        <v>-125.56</v>
      </c>
      <c r="E18" s="14"/>
      <c r="F18" s="16" t="s">
        <v>16</v>
      </c>
      <c r="G18" s="17" t="s">
        <v>90</v>
      </c>
      <c r="H18" s="16"/>
    </row>
    <row r="19" spans="1:8" ht="18" customHeight="1" x14ac:dyDescent="0.15">
      <c r="A19" s="13">
        <v>46261</v>
      </c>
      <c r="B19" s="14" t="s">
        <v>91</v>
      </c>
      <c r="C19" s="14" t="s">
        <v>92</v>
      </c>
      <c r="D19" s="15">
        <v>2380</v>
      </c>
      <c r="E19" s="14" t="s">
        <v>93</v>
      </c>
      <c r="F19" s="16" t="s">
        <v>94</v>
      </c>
      <c r="G19" s="17" t="s">
        <v>95</v>
      </c>
      <c r="H19" s="16"/>
    </row>
    <row r="20" spans="1:8" ht="18" customHeight="1" x14ac:dyDescent="0.15">
      <c r="A20" s="13">
        <v>46262</v>
      </c>
      <c r="B20" s="14" t="s">
        <v>60</v>
      </c>
      <c r="C20" s="14" t="s">
        <v>96</v>
      </c>
      <c r="D20" s="15">
        <v>-545</v>
      </c>
      <c r="E20" s="14" t="s">
        <v>62</v>
      </c>
      <c r="F20" s="16" t="s">
        <v>16</v>
      </c>
      <c r="G20" s="17" t="s">
        <v>97</v>
      </c>
      <c r="H20" s="16"/>
    </row>
    <row r="21" spans="1:8" ht="18" customHeight="1" x14ac:dyDescent="0.15">
      <c r="A21" s="13">
        <v>46263</v>
      </c>
      <c r="B21" s="14" t="s">
        <v>76</v>
      </c>
      <c r="C21" s="14" t="s">
        <v>77</v>
      </c>
      <c r="D21" s="15">
        <v>0</v>
      </c>
      <c r="E21" s="14" t="s">
        <v>101</v>
      </c>
      <c r="F21" s="16" t="s">
        <v>18</v>
      </c>
      <c r="G21" s="17"/>
      <c r="H21" s="16"/>
    </row>
    <row r="22" spans="1:8" ht="18" customHeight="1" x14ac:dyDescent="0.15">
      <c r="A22" s="13">
        <v>46265</v>
      </c>
      <c r="B22" s="14" t="s">
        <v>109</v>
      </c>
      <c r="C22" s="14" t="s">
        <v>110</v>
      </c>
      <c r="D22" s="15">
        <v>-236.19</v>
      </c>
      <c r="E22" s="14" t="s">
        <v>62</v>
      </c>
      <c r="F22" s="16" t="s">
        <v>16</v>
      </c>
      <c r="G22" s="17" t="s">
        <v>111</v>
      </c>
      <c r="H22" s="16"/>
    </row>
    <row r="23" spans="1:8" ht="18" customHeight="1" x14ac:dyDescent="0.15">
      <c r="A23" s="13">
        <v>46265</v>
      </c>
      <c r="B23" s="14" t="s">
        <v>102</v>
      </c>
      <c r="C23" s="14" t="s">
        <v>103</v>
      </c>
      <c r="D23" s="15">
        <f>-(0)</f>
        <v>0</v>
      </c>
      <c r="E23" s="14" t="s">
        <v>82</v>
      </c>
      <c r="F23" s="16" t="s">
        <v>16</v>
      </c>
      <c r="G23" s="17" t="s">
        <v>112</v>
      </c>
      <c r="H23" s="16"/>
    </row>
    <row r="24" spans="1:8" x14ac:dyDescent="0.15">
      <c r="A24" s="13"/>
      <c r="B24" s="14"/>
      <c r="C24" s="14"/>
      <c r="D24" s="15"/>
      <c r="E24" s="14"/>
      <c r="F24" s="16"/>
      <c r="G24" s="17"/>
      <c r="H24" s="16"/>
    </row>
    <row r="25" spans="1:8" ht="16.5" customHeight="1" x14ac:dyDescent="0.15">
      <c r="A25" s="1"/>
      <c r="B25" s="1"/>
      <c r="C25" s="1"/>
      <c r="D25" s="1"/>
      <c r="E25" s="1"/>
      <c r="F25" s="1"/>
      <c r="G25" s="1"/>
      <c r="H25" s="1"/>
    </row>
    <row r="26" spans="1:8" x14ac:dyDescent="0.2">
      <c r="A26" s="13"/>
      <c r="B26" s="20"/>
      <c r="C26" s="20"/>
      <c r="D26" s="20"/>
      <c r="E26" s="20"/>
      <c r="F26" s="20"/>
      <c r="G26" s="20"/>
      <c r="H26" s="16"/>
    </row>
    <row r="27" spans="1:8" x14ac:dyDescent="0.2">
      <c r="A27" s="13"/>
      <c r="B27" s="14"/>
      <c r="C27" s="14"/>
      <c r="D27" s="20"/>
      <c r="E27" s="20"/>
      <c r="F27" s="20"/>
      <c r="G27" s="20"/>
      <c r="H27" s="16"/>
    </row>
    <row r="28" spans="1:8" x14ac:dyDescent="0.15">
      <c r="A28" s="13"/>
      <c r="B28" s="14"/>
      <c r="C28" s="14"/>
      <c r="D28" s="15"/>
      <c r="E28" s="14"/>
      <c r="F28" s="16"/>
      <c r="G28" s="17"/>
      <c r="H28" s="16"/>
    </row>
    <row r="29" spans="1:8" x14ac:dyDescent="0.15">
      <c r="A29" s="13"/>
      <c r="B29" s="14"/>
      <c r="C29" s="14"/>
      <c r="D29" s="15"/>
      <c r="E29" s="14"/>
      <c r="F29" s="16"/>
      <c r="G29" s="17"/>
      <c r="H29" s="16"/>
    </row>
    <row r="30" spans="1:8" x14ac:dyDescent="0.15">
      <c r="A30" s="13"/>
      <c r="B30" s="14"/>
      <c r="C30" s="14"/>
      <c r="D30" s="15"/>
      <c r="E30" s="14"/>
      <c r="F30" s="16"/>
      <c r="G30" s="17"/>
      <c r="H30" s="16"/>
    </row>
    <row r="31" spans="1:8" x14ac:dyDescent="0.15">
      <c r="A31" s="13"/>
      <c r="B31" s="14"/>
      <c r="C31" s="14"/>
      <c r="D31" s="15"/>
      <c r="E31" s="14"/>
      <c r="F31" s="16"/>
      <c r="G31" s="17"/>
      <c r="H31" s="16"/>
    </row>
    <row r="32" spans="1:8" x14ac:dyDescent="0.15">
      <c r="A32" s="13"/>
      <c r="B32" s="14"/>
      <c r="C32" s="14"/>
      <c r="D32" s="15"/>
      <c r="E32" s="14"/>
      <c r="F32" s="16"/>
      <c r="G32" s="17"/>
      <c r="H32" s="16"/>
    </row>
    <row r="33" spans="1:8" x14ac:dyDescent="0.15">
      <c r="A33" s="13"/>
      <c r="B33" s="14"/>
      <c r="C33" s="14"/>
      <c r="D33" s="15"/>
      <c r="E33" s="14"/>
      <c r="F33" s="16"/>
      <c r="G33" s="17"/>
      <c r="H33" s="16"/>
    </row>
    <row r="34" spans="1:8" x14ac:dyDescent="0.15">
      <c r="A34" s="13"/>
      <c r="B34" s="14"/>
      <c r="C34" s="14"/>
      <c r="D34" s="15"/>
      <c r="E34" s="14"/>
      <c r="F34" s="16"/>
      <c r="G34" s="17"/>
      <c r="H34" s="16"/>
    </row>
    <row r="35" spans="1:8" x14ac:dyDescent="0.15">
      <c r="A35" s="13"/>
      <c r="B35" s="14"/>
      <c r="C35" s="14"/>
      <c r="D35" s="15"/>
      <c r="E35" s="14"/>
      <c r="F35" s="16"/>
      <c r="G35" s="17"/>
      <c r="H35" s="16"/>
    </row>
    <row r="36" spans="1:8" x14ac:dyDescent="0.15">
      <c r="A36" s="13"/>
      <c r="B36" s="14"/>
      <c r="C36" s="14"/>
      <c r="D36" s="15"/>
      <c r="E36" s="14"/>
      <c r="F36" s="16"/>
      <c r="G36" s="17"/>
      <c r="H36" s="16"/>
    </row>
    <row r="37" spans="1:8" x14ac:dyDescent="0.15">
      <c r="A37" s="13"/>
      <c r="B37" s="14"/>
      <c r="C37" s="14"/>
      <c r="D37" s="15"/>
      <c r="E37" s="14"/>
      <c r="F37" s="16"/>
      <c r="G37" s="17"/>
      <c r="H37" s="16"/>
    </row>
    <row r="38" spans="1:8" x14ac:dyDescent="0.15">
      <c r="A38" s="13"/>
      <c r="B38" s="14"/>
      <c r="C38" s="14"/>
      <c r="D38" s="15"/>
      <c r="E38" s="14"/>
      <c r="F38" s="16"/>
      <c r="G38" s="17"/>
      <c r="H38" s="16"/>
    </row>
    <row r="39" spans="1:8" x14ac:dyDescent="0.15">
      <c r="A39" s="13"/>
      <c r="B39" s="14"/>
      <c r="C39" s="14"/>
      <c r="D39" s="15"/>
      <c r="E39" s="14"/>
      <c r="F39" s="16"/>
      <c r="G39" s="17"/>
      <c r="H39" s="16"/>
    </row>
    <row r="40" spans="1:8" x14ac:dyDescent="0.15">
      <c r="A40" s="13"/>
      <c r="B40" s="14"/>
      <c r="C40" s="14"/>
      <c r="D40" s="15"/>
      <c r="E40" s="14"/>
      <c r="F40" s="16"/>
      <c r="G40" s="17"/>
      <c r="H40" s="16"/>
    </row>
    <row r="41" spans="1:8" x14ac:dyDescent="0.15">
      <c r="A41" s="13"/>
      <c r="B41" s="14"/>
      <c r="C41" s="14"/>
      <c r="D41" s="15"/>
      <c r="E41" s="14"/>
      <c r="F41" s="16"/>
      <c r="G41" s="17"/>
      <c r="H41" s="16"/>
    </row>
    <row r="42" spans="1:8" x14ac:dyDescent="0.15">
      <c r="A42" s="13"/>
      <c r="B42" s="14"/>
      <c r="C42" s="14"/>
      <c r="D42" s="15"/>
      <c r="E42" s="14"/>
      <c r="F42" s="16"/>
      <c r="G42" s="17"/>
      <c r="H42" s="16"/>
    </row>
    <row r="43" spans="1:8" x14ac:dyDescent="0.15">
      <c r="A43" s="13"/>
      <c r="B43" s="14"/>
      <c r="C43" s="14"/>
      <c r="D43" s="15"/>
      <c r="E43" s="14"/>
      <c r="F43" s="16"/>
      <c r="G43" s="17"/>
      <c r="H43" s="16"/>
    </row>
    <row r="44" spans="1:8" x14ac:dyDescent="0.15">
      <c r="A44" s="13"/>
      <c r="B44" s="14"/>
      <c r="C44" s="14"/>
      <c r="D44" s="15"/>
      <c r="E44" s="14"/>
      <c r="F44" s="16"/>
      <c r="G44" s="17"/>
      <c r="H44" s="16"/>
    </row>
    <row r="45" spans="1:8" x14ac:dyDescent="0.15">
      <c r="A45" s="13"/>
      <c r="B45" s="14"/>
      <c r="C45" s="14"/>
      <c r="D45" s="15"/>
      <c r="E45" s="14"/>
      <c r="F45" s="16"/>
      <c r="G45" s="17"/>
      <c r="H45" s="16"/>
    </row>
    <row r="46" spans="1:8" x14ac:dyDescent="0.15">
      <c r="A46" s="13"/>
      <c r="B46" s="14"/>
      <c r="C46" s="14"/>
      <c r="D46" s="15"/>
      <c r="E46" s="14"/>
      <c r="F46" s="16"/>
      <c r="G46" s="17"/>
      <c r="H46" s="16"/>
    </row>
    <row r="47" spans="1:8" x14ac:dyDescent="0.15">
      <c r="A47" s="13"/>
      <c r="B47" s="14"/>
      <c r="C47" s="14"/>
      <c r="D47" s="15"/>
      <c r="E47" s="14"/>
      <c r="F47" s="16"/>
      <c r="G47" s="17"/>
      <c r="H47" s="16"/>
    </row>
    <row r="48" spans="1:8" x14ac:dyDescent="0.15">
      <c r="A48" s="13"/>
      <c r="B48" s="14"/>
      <c r="C48" s="14"/>
      <c r="D48" s="15"/>
      <c r="E48" s="14"/>
      <c r="F48" s="16"/>
      <c r="G48" s="17"/>
      <c r="H48" s="16"/>
    </row>
    <row r="49" spans="1:8" x14ac:dyDescent="0.15">
      <c r="A49" s="13"/>
      <c r="B49" s="14"/>
      <c r="C49" s="14"/>
      <c r="D49" s="15"/>
      <c r="E49" s="14"/>
      <c r="F49" s="16"/>
      <c r="G49" s="17"/>
      <c r="H49" s="16"/>
    </row>
    <row r="50" spans="1:8" x14ac:dyDescent="0.15">
      <c r="A50" s="13"/>
      <c r="B50" s="14"/>
      <c r="C50" s="14"/>
      <c r="D50" s="15"/>
      <c r="E50" s="14"/>
      <c r="F50" s="16"/>
      <c r="G50" s="17"/>
      <c r="H50" s="16"/>
    </row>
    <row r="51" spans="1:8" x14ac:dyDescent="0.15">
      <c r="A51" s="13"/>
      <c r="B51" s="14"/>
      <c r="C51" s="14"/>
      <c r="D51" s="15"/>
      <c r="E51" s="14"/>
      <c r="F51" s="16"/>
      <c r="G51" s="17"/>
      <c r="H51" s="16"/>
    </row>
    <row r="52" spans="1:8" x14ac:dyDescent="0.15">
      <c r="A52" s="13"/>
      <c r="B52" s="14"/>
      <c r="C52" s="14"/>
      <c r="D52" s="15"/>
      <c r="E52" s="14"/>
      <c r="F52" s="16"/>
      <c r="G52" s="17"/>
      <c r="H52" s="16"/>
    </row>
    <row r="53" spans="1:8" x14ac:dyDescent="0.15">
      <c r="A53" s="13"/>
      <c r="B53" s="14"/>
      <c r="C53" s="14"/>
      <c r="D53" s="15"/>
      <c r="E53" s="14"/>
      <c r="F53" s="16"/>
      <c r="G53" s="17"/>
      <c r="H53" s="16"/>
    </row>
    <row r="54" spans="1:8" x14ac:dyDescent="0.15">
      <c r="A54" s="13"/>
      <c r="B54" s="14"/>
      <c r="C54" s="14"/>
      <c r="D54" s="15"/>
      <c r="E54" s="14"/>
      <c r="F54" s="16"/>
      <c r="G54" s="17"/>
      <c r="H54" s="16"/>
    </row>
    <row r="55" spans="1:8" x14ac:dyDescent="0.15">
      <c r="A55" s="13"/>
      <c r="B55" s="14"/>
      <c r="C55" s="14"/>
      <c r="D55" s="15"/>
      <c r="E55" s="14"/>
      <c r="F55" s="16"/>
      <c r="G55" s="17"/>
      <c r="H55" s="16"/>
    </row>
    <row r="56" spans="1:8" x14ac:dyDescent="0.15">
      <c r="A56" s="13"/>
      <c r="B56" s="14"/>
      <c r="C56" s="14"/>
      <c r="D56" s="15"/>
      <c r="E56" s="14"/>
      <c r="F56" s="16"/>
      <c r="G56" s="17"/>
      <c r="H56" s="16"/>
    </row>
    <row r="57" spans="1:8" x14ac:dyDescent="0.15">
      <c r="A57" s="13"/>
      <c r="B57" s="14"/>
      <c r="C57" s="14"/>
      <c r="D57" s="15"/>
      <c r="E57" s="14"/>
      <c r="F57" s="16"/>
      <c r="G57" s="17"/>
      <c r="H57" s="16"/>
    </row>
    <row r="58" spans="1:8" x14ac:dyDescent="0.15">
      <c r="A58" s="13"/>
      <c r="B58" s="14"/>
      <c r="C58" s="14"/>
      <c r="D58" s="15"/>
      <c r="E58" s="14"/>
      <c r="F58" s="16"/>
      <c r="G58" s="17"/>
      <c r="H58" s="16"/>
    </row>
    <row r="59" spans="1:8" x14ac:dyDescent="0.15">
      <c r="A59" s="13"/>
      <c r="B59" s="14"/>
      <c r="C59" s="14"/>
      <c r="D59" s="15"/>
      <c r="E59" s="14"/>
      <c r="F59" s="16"/>
      <c r="G59" s="17"/>
      <c r="H59" s="16"/>
    </row>
    <row r="60" spans="1:8" x14ac:dyDescent="0.15">
      <c r="A60" s="13"/>
      <c r="B60" s="14"/>
      <c r="C60" s="14"/>
      <c r="D60" s="15"/>
      <c r="E60" s="14"/>
      <c r="F60" s="16"/>
      <c r="G60" s="17"/>
      <c r="H60" s="16"/>
    </row>
    <row r="61" spans="1:8" x14ac:dyDescent="0.15">
      <c r="A61" s="13"/>
      <c r="B61" s="14"/>
      <c r="C61" s="14"/>
      <c r="D61" s="15"/>
      <c r="E61" s="14"/>
      <c r="F61" s="16"/>
      <c r="G61" s="17"/>
      <c r="H61" s="16"/>
    </row>
    <row r="62" spans="1:8" x14ac:dyDescent="0.15">
      <c r="A62" s="13"/>
      <c r="B62" s="14"/>
      <c r="C62" s="14"/>
      <c r="D62" s="15"/>
      <c r="E62" s="14"/>
      <c r="F62" s="16"/>
      <c r="G62" s="17"/>
      <c r="H62" s="16"/>
    </row>
    <row r="63" spans="1:8" x14ac:dyDescent="0.15">
      <c r="A63" s="13"/>
      <c r="B63" s="14"/>
      <c r="C63" s="14"/>
      <c r="D63" s="15"/>
      <c r="E63" s="14"/>
      <c r="F63" s="16"/>
      <c r="G63" s="17"/>
      <c r="H63" s="16"/>
    </row>
    <row r="64" spans="1:8" x14ac:dyDescent="0.15">
      <c r="A64" s="13"/>
      <c r="B64" s="14"/>
      <c r="C64" s="14"/>
      <c r="D64" s="15"/>
      <c r="E64" s="14"/>
      <c r="F64" s="16"/>
      <c r="G64" s="17"/>
      <c r="H64" s="16"/>
    </row>
    <row r="65" spans="1:8" x14ac:dyDescent="0.15">
      <c r="A65" s="13"/>
      <c r="B65" s="14"/>
      <c r="C65" s="14"/>
      <c r="D65" s="15"/>
      <c r="E65" s="14"/>
      <c r="F65" s="16"/>
      <c r="G65" s="17"/>
      <c r="H65" s="16"/>
    </row>
    <row r="66" spans="1:8" x14ac:dyDescent="0.15">
      <c r="A66" s="13"/>
      <c r="B66" s="14"/>
      <c r="C66" s="14"/>
      <c r="D66" s="15"/>
      <c r="E66" s="14"/>
      <c r="F66" s="16"/>
      <c r="G66" s="17"/>
      <c r="H66" s="16"/>
    </row>
    <row r="67" spans="1:8" x14ac:dyDescent="0.15">
      <c r="A67" s="13"/>
      <c r="B67" s="14"/>
      <c r="C67" s="14"/>
      <c r="D67" s="15"/>
      <c r="E67" s="14"/>
      <c r="F67" s="16"/>
      <c r="G67" s="17"/>
      <c r="H67" s="16"/>
    </row>
    <row r="1048574" ht="12.75" customHeight="1" x14ac:dyDescent="0.15"/>
    <row r="1048575" ht="12.75" customHeight="1" x14ac:dyDescent="0.15"/>
  </sheetData>
  <autoFilter ref="A3:H143" xr:uid="{00000000-0009-0000-0000-000009000000}"/>
  <mergeCells count="2">
    <mergeCell ref="A1:G1"/>
    <mergeCell ref="A25:H25"/>
  </mergeCells>
  <conditionalFormatting sqref="A21:G63 A4:G19">
    <cfRule type="cellIs" dxfId="27" priority="6" operator="equal">
      <formula>"A"</formula>
    </cfRule>
    <cfRule type="expression" dxfId="26" priority="7">
      <formula>$F4="A"</formula>
    </cfRule>
    <cfRule type="expression" dxfId="25" priority="8">
      <formula>$F4="B"</formula>
    </cfRule>
    <cfRule type="expression" dxfId="24" priority="9">
      <formula>$F4="C"</formula>
    </cfRule>
  </conditionalFormatting>
  <conditionalFormatting sqref="A20:G20">
    <cfRule type="cellIs" dxfId="23" priority="1" operator="equal">
      <formula>"A"</formula>
    </cfRule>
    <cfRule type="expression" dxfId="22" priority="2">
      <formula>$F20="A"</formula>
    </cfRule>
    <cfRule type="expression" dxfId="21" priority="3">
      <formula>$F20="B"</formula>
    </cfRule>
    <cfRule type="expression" dxfId="20" priority="4">
      <formula>$F20="C"</formula>
    </cfRule>
  </conditionalFormatting>
  <dataValidations count="3">
    <dataValidation type="list" allowBlank="1" sqref="F4:F143" xr:uid="{00000000-0002-0000-0900-000000000000}">
      <formula1>"A,B,C,—"</formula1>
      <formula2>0</formula2>
    </dataValidation>
    <dataValidation type="list" allowBlank="1" sqref="E4:E143" xr:uid="{00000000-0002-0000-0900-000001000000}">
      <formula1>"SDD,Accredito,Bancomat,CC moglie,Contanti,Buoni pasto,Gift card,Altro"</formula1>
      <formula2>0</formula2>
    </dataValidation>
    <dataValidation type="list" allowBlank="1" sqref="H4:H143" xr:uid="{00000000-0002-0000-0900-000002000000}">
      <formula1>"Sì,No"</formula1>
      <formula2>0</formula2>
    </dataValidation>
  </dataValidations>
  <printOptions gridLines="1"/>
  <pageMargins left="0.7" right="0.7" top="0.75" bottom="0.75" header="0.511811023622047" footer="0.511811023622047"/>
  <pageSetup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1048575"/>
  <sheetViews>
    <sheetView showGridLines="0" zoomScale="125" zoomScaleNormal="125" workbookViewId="0">
      <pane ySplit="3" topLeftCell="A4" activePane="bottomLeft" state="frozen"/>
      <selection pane="bottomLeft" activeCell="G13" sqref="G13"/>
    </sheetView>
  </sheetViews>
  <sheetFormatPr baseColWidth="10" defaultColWidth="9.83203125" defaultRowHeight="15" customHeight="1" x14ac:dyDescent="0.15"/>
  <cols>
    <col min="1" max="1" width="13.6640625" customWidth="1"/>
    <col min="2" max="2" width="15.83203125" customWidth="1"/>
    <col min="3" max="3" width="43.1640625" customWidth="1"/>
    <col min="4" max="5" width="15.83203125" customWidth="1"/>
    <col min="6" max="6" width="9" customWidth="1"/>
    <col min="7" max="7" width="45.5" customWidth="1"/>
    <col min="8" max="8" width="11.33203125" customWidth="1"/>
    <col min="10" max="10" width="20.5" customWidth="1"/>
    <col min="11" max="11" width="18.1640625" customWidth="1"/>
  </cols>
  <sheetData>
    <row r="1" spans="1:11" ht="27.75" customHeight="1" x14ac:dyDescent="0.15">
      <c r="A1" s="2" t="s">
        <v>120</v>
      </c>
      <c r="B1" s="2"/>
      <c r="C1" s="2"/>
      <c r="D1" s="2"/>
      <c r="E1" s="2"/>
      <c r="F1" s="2"/>
      <c r="G1" s="2"/>
    </row>
    <row r="2" spans="1:11" ht="14" x14ac:dyDescent="0.15">
      <c r="F2" s="11"/>
      <c r="G2" s="10"/>
      <c r="J2" s="11" t="s">
        <v>52</v>
      </c>
      <c r="K2" s="10">
        <f>SUMIF($A:$A,"&lt;&gt;",$D:$D)</f>
        <v>-321.52</v>
      </c>
    </row>
    <row r="3" spans="1:11" ht="24" customHeight="1" x14ac:dyDescent="0.15">
      <c r="A3" s="12" t="s">
        <v>53</v>
      </c>
      <c r="B3" s="12" t="s">
        <v>54</v>
      </c>
      <c r="C3" s="12" t="s">
        <v>55</v>
      </c>
      <c r="D3" s="12" t="s">
        <v>56</v>
      </c>
      <c r="E3" s="12" t="s">
        <v>57</v>
      </c>
      <c r="F3" s="12" t="s">
        <v>14</v>
      </c>
      <c r="G3" s="12" t="s">
        <v>58</v>
      </c>
      <c r="H3" s="12" t="s">
        <v>26</v>
      </c>
      <c r="J3" s="11" t="s">
        <v>59</v>
      </c>
      <c r="K3" s="10">
        <f>'08-Aug'!$K$3+$K$2</f>
        <v>1480.1599999999999</v>
      </c>
    </row>
    <row r="4" spans="1:11" ht="18" customHeight="1" x14ac:dyDescent="0.15">
      <c r="A4" s="13">
        <v>46266</v>
      </c>
      <c r="B4" s="14" t="s">
        <v>60</v>
      </c>
      <c r="C4" s="14" t="s">
        <v>61</v>
      </c>
      <c r="D4" s="15">
        <v>-742</v>
      </c>
      <c r="E4" s="14" t="s">
        <v>62</v>
      </c>
      <c r="F4" s="16" t="s">
        <v>16</v>
      </c>
      <c r="G4" s="17" t="s">
        <v>63</v>
      </c>
      <c r="H4" s="16"/>
    </row>
    <row r="5" spans="1:11" ht="18" customHeight="1" x14ac:dyDescent="0.15">
      <c r="A5" s="13">
        <v>46266</v>
      </c>
      <c r="B5" s="14" t="s">
        <v>65</v>
      </c>
      <c r="C5" s="14" t="s">
        <v>66</v>
      </c>
      <c r="D5" s="15">
        <v>-38</v>
      </c>
      <c r="E5" s="14" t="s">
        <v>62</v>
      </c>
      <c r="F5" s="16" t="s">
        <v>20</v>
      </c>
      <c r="G5" s="17" t="s">
        <v>67</v>
      </c>
      <c r="H5" s="16"/>
    </row>
    <row r="6" spans="1:11" ht="18" customHeight="1" x14ac:dyDescent="0.15">
      <c r="A6" s="13">
        <v>46267</v>
      </c>
      <c r="B6" s="14" t="s">
        <v>69</v>
      </c>
      <c r="C6" s="14" t="s">
        <v>70</v>
      </c>
      <c r="D6" s="15">
        <v>-6.99</v>
      </c>
      <c r="E6" s="14" t="s">
        <v>62</v>
      </c>
      <c r="F6" s="16" t="s">
        <v>18</v>
      </c>
      <c r="G6" s="17" t="s">
        <v>71</v>
      </c>
      <c r="H6" s="16"/>
    </row>
    <row r="7" spans="1:11" ht="18" customHeight="1" x14ac:dyDescent="0.15">
      <c r="A7" s="13">
        <v>46270</v>
      </c>
      <c r="B7" s="14" t="s">
        <v>76</v>
      </c>
      <c r="C7" s="14" t="s">
        <v>77</v>
      </c>
      <c r="D7" s="15">
        <v>-170</v>
      </c>
      <c r="E7" s="14" t="s">
        <v>82</v>
      </c>
      <c r="F7" s="16" t="s">
        <v>18</v>
      </c>
      <c r="G7" s="17"/>
      <c r="H7" s="16"/>
    </row>
    <row r="8" spans="1:11" ht="18" customHeight="1" x14ac:dyDescent="0.15">
      <c r="A8" s="13">
        <v>46274</v>
      </c>
      <c r="B8" s="14" t="s">
        <v>65</v>
      </c>
      <c r="C8" s="14" t="s">
        <v>81</v>
      </c>
      <c r="D8" s="15">
        <v>-6.99</v>
      </c>
      <c r="E8" s="14" t="s">
        <v>82</v>
      </c>
      <c r="F8" s="16" t="s">
        <v>20</v>
      </c>
      <c r="G8" s="17"/>
      <c r="H8" s="16"/>
    </row>
    <row r="9" spans="1:11" ht="18" customHeight="1" x14ac:dyDescent="0.15">
      <c r="A9" s="13">
        <v>46275</v>
      </c>
      <c r="B9" s="14" t="s">
        <v>65</v>
      </c>
      <c r="C9" s="14" t="s">
        <v>83</v>
      </c>
      <c r="D9" s="15">
        <v>-6.99</v>
      </c>
      <c r="E9" s="14" t="s">
        <v>82</v>
      </c>
      <c r="F9" s="16" t="s">
        <v>20</v>
      </c>
      <c r="G9" s="17"/>
      <c r="H9" s="16"/>
    </row>
    <row r="10" spans="1:11" ht="18" customHeight="1" x14ac:dyDescent="0.15">
      <c r="A10" s="13">
        <v>46277</v>
      </c>
      <c r="B10" s="14" t="s">
        <v>76</v>
      </c>
      <c r="C10" s="14" t="s">
        <v>77</v>
      </c>
      <c r="D10" s="15">
        <v>-170</v>
      </c>
      <c r="E10" s="14" t="s">
        <v>82</v>
      </c>
      <c r="F10" s="16" t="s">
        <v>18</v>
      </c>
      <c r="G10" s="17"/>
      <c r="H10" s="16"/>
    </row>
    <row r="11" spans="1:11" ht="18" customHeight="1" x14ac:dyDescent="0.15">
      <c r="A11" s="13">
        <v>46280</v>
      </c>
      <c r="B11" s="14" t="s">
        <v>60</v>
      </c>
      <c r="C11" s="14" t="s">
        <v>84</v>
      </c>
      <c r="D11" s="15">
        <v>-218</v>
      </c>
      <c r="E11" s="14" t="s">
        <v>62</v>
      </c>
      <c r="F11" s="16" t="s">
        <v>16</v>
      </c>
      <c r="G11" s="17" t="s">
        <v>85</v>
      </c>
      <c r="H11" s="16"/>
    </row>
    <row r="12" spans="1:11" ht="18" customHeight="1" x14ac:dyDescent="0.15">
      <c r="A12" s="13">
        <v>46280</v>
      </c>
      <c r="B12" s="14" t="s">
        <v>69</v>
      </c>
      <c r="C12" s="14" t="s">
        <v>86</v>
      </c>
      <c r="D12" s="15">
        <v>-31</v>
      </c>
      <c r="E12" s="14" t="s">
        <v>62</v>
      </c>
      <c r="F12" s="16" t="s">
        <v>18</v>
      </c>
      <c r="G12" s="17" t="s">
        <v>71</v>
      </c>
      <c r="H12" s="16"/>
    </row>
    <row r="13" spans="1:11" ht="18" customHeight="1" x14ac:dyDescent="0.15">
      <c r="A13" s="13">
        <v>46280</v>
      </c>
      <c r="B13" s="14" t="s">
        <v>69</v>
      </c>
      <c r="C13" s="14" t="s">
        <v>87</v>
      </c>
      <c r="D13" s="15">
        <v>-6.99</v>
      </c>
      <c r="E13" s="14" t="s">
        <v>62</v>
      </c>
      <c r="F13" s="16" t="s">
        <v>18</v>
      </c>
      <c r="G13" s="17" t="s">
        <v>71</v>
      </c>
      <c r="H13" s="16"/>
    </row>
    <row r="14" spans="1:11" ht="18" customHeight="1" x14ac:dyDescent="0.15">
      <c r="A14" s="13">
        <v>46280</v>
      </c>
      <c r="B14" s="14" t="s">
        <v>69</v>
      </c>
      <c r="C14" s="14" t="s">
        <v>105</v>
      </c>
      <c r="D14" s="15">
        <v>-120</v>
      </c>
      <c r="E14" s="14" t="s">
        <v>62</v>
      </c>
      <c r="F14" s="16" t="s">
        <v>18</v>
      </c>
      <c r="G14" s="17" t="s">
        <v>106</v>
      </c>
      <c r="H14" s="16"/>
    </row>
    <row r="15" spans="1:11" ht="18" customHeight="1" x14ac:dyDescent="0.15">
      <c r="A15" s="13">
        <v>46280</v>
      </c>
      <c r="B15" s="14" t="s">
        <v>69</v>
      </c>
      <c r="C15" s="14" t="s">
        <v>107</v>
      </c>
      <c r="D15" s="15">
        <v>-20</v>
      </c>
      <c r="E15" s="14" t="s">
        <v>62</v>
      </c>
      <c r="F15" s="16" t="s">
        <v>18</v>
      </c>
      <c r="G15" s="17" t="s">
        <v>106</v>
      </c>
      <c r="H15" s="16"/>
    </row>
    <row r="16" spans="1:11" ht="18" customHeight="1" x14ac:dyDescent="0.15">
      <c r="A16" s="13">
        <v>46284</v>
      </c>
      <c r="B16" s="14" t="s">
        <v>76</v>
      </c>
      <c r="C16" s="14" t="s">
        <v>77</v>
      </c>
      <c r="D16" s="15">
        <v>-170</v>
      </c>
      <c r="E16" s="14" t="s">
        <v>82</v>
      </c>
      <c r="F16" s="16" t="s">
        <v>18</v>
      </c>
      <c r="G16" s="17"/>
      <c r="H16" s="16"/>
    </row>
    <row r="17" spans="1:8" ht="19.5" customHeight="1" x14ac:dyDescent="0.15">
      <c r="A17" s="13">
        <v>46286</v>
      </c>
      <c r="B17" s="14" t="s">
        <v>98</v>
      </c>
      <c r="C17" s="14" t="s">
        <v>99</v>
      </c>
      <c r="D17" s="15">
        <v>-154</v>
      </c>
      <c r="E17" s="14" t="s">
        <v>62</v>
      </c>
      <c r="F17" s="16" t="s">
        <v>18</v>
      </c>
      <c r="G17" s="17" t="s">
        <v>100</v>
      </c>
      <c r="H17" s="16"/>
    </row>
    <row r="18" spans="1:8" ht="18" customHeight="1" x14ac:dyDescent="0.15">
      <c r="A18" s="13">
        <v>46291</v>
      </c>
      <c r="B18" s="14" t="s">
        <v>88</v>
      </c>
      <c r="C18" s="14" t="s">
        <v>89</v>
      </c>
      <c r="D18" s="15">
        <v>-125.56</v>
      </c>
      <c r="E18" s="14" t="s">
        <v>82</v>
      </c>
      <c r="F18" s="16" t="s">
        <v>16</v>
      </c>
      <c r="G18" s="17" t="s">
        <v>90</v>
      </c>
      <c r="H18" s="16"/>
    </row>
    <row r="19" spans="1:8" ht="18" customHeight="1" x14ac:dyDescent="0.15">
      <c r="A19" s="13">
        <v>46291</v>
      </c>
      <c r="B19" s="14" t="s">
        <v>76</v>
      </c>
      <c r="C19" s="14" t="s">
        <v>77</v>
      </c>
      <c r="D19" s="15">
        <v>-170</v>
      </c>
      <c r="E19" s="14" t="s">
        <v>82</v>
      </c>
      <c r="F19" s="16" t="s">
        <v>18</v>
      </c>
      <c r="G19" s="17"/>
      <c r="H19" s="16"/>
    </row>
    <row r="20" spans="1:8" ht="18" customHeight="1" x14ac:dyDescent="0.15">
      <c r="A20" s="13">
        <v>46292</v>
      </c>
      <c r="B20" s="14" t="s">
        <v>91</v>
      </c>
      <c r="C20" s="14" t="s">
        <v>92</v>
      </c>
      <c r="D20" s="15">
        <v>2380</v>
      </c>
      <c r="E20" s="14" t="s">
        <v>93</v>
      </c>
      <c r="F20" s="16" t="s">
        <v>94</v>
      </c>
      <c r="G20" s="17" t="s">
        <v>95</v>
      </c>
      <c r="H20" s="16"/>
    </row>
    <row r="21" spans="1:8" ht="18" customHeight="1" x14ac:dyDescent="0.15">
      <c r="A21" s="13">
        <v>46293</v>
      </c>
      <c r="B21" s="14" t="s">
        <v>60</v>
      </c>
      <c r="C21" s="14" t="s">
        <v>96</v>
      </c>
      <c r="D21" s="15">
        <v>-545</v>
      </c>
      <c r="E21" s="14" t="s">
        <v>62</v>
      </c>
      <c r="F21" s="16" t="s">
        <v>16</v>
      </c>
      <c r="G21" s="17" t="s">
        <v>97</v>
      </c>
      <c r="H21" s="16"/>
    </row>
    <row r="22" spans="1:8" ht="18" customHeight="1" x14ac:dyDescent="0.15">
      <c r="A22" s="13">
        <v>46295</v>
      </c>
      <c r="B22" s="14" t="s">
        <v>102</v>
      </c>
      <c r="C22" s="14" t="s">
        <v>103</v>
      </c>
      <c r="D22" s="15">
        <f>-(0)</f>
        <v>0</v>
      </c>
      <c r="E22" s="14" t="s">
        <v>82</v>
      </c>
      <c r="F22" s="16" t="s">
        <v>16</v>
      </c>
      <c r="G22" s="17" t="s">
        <v>112</v>
      </c>
      <c r="H22" s="16"/>
    </row>
    <row r="23" spans="1:8" x14ac:dyDescent="0.2">
      <c r="A23" s="13"/>
      <c r="B23" s="18"/>
      <c r="C23" s="18"/>
      <c r="D23" s="18"/>
      <c r="E23" s="18"/>
      <c r="F23" s="18"/>
      <c r="G23" s="19"/>
      <c r="H23" s="16"/>
    </row>
    <row r="24" spans="1:8" ht="16.5" customHeight="1" x14ac:dyDescent="0.15">
      <c r="A24" s="1"/>
      <c r="B24" s="1"/>
      <c r="C24" s="1"/>
      <c r="D24" s="1"/>
      <c r="E24" s="1"/>
      <c r="F24" s="1"/>
      <c r="G24" s="1"/>
      <c r="H24" s="1"/>
    </row>
    <row r="25" spans="1:8" x14ac:dyDescent="0.15">
      <c r="A25" s="13"/>
      <c r="B25" s="14"/>
      <c r="C25" s="14"/>
      <c r="D25" s="15"/>
      <c r="E25" s="14"/>
      <c r="F25" s="16"/>
      <c r="G25" s="17"/>
      <c r="H25" s="16"/>
    </row>
    <row r="26" spans="1:8" x14ac:dyDescent="0.15">
      <c r="A26" s="13"/>
      <c r="B26" s="14"/>
      <c r="C26" s="14"/>
      <c r="D26" s="15"/>
      <c r="E26" s="14"/>
      <c r="F26" s="16"/>
      <c r="G26" s="17"/>
      <c r="H26" s="16"/>
    </row>
    <row r="27" spans="1:8" x14ac:dyDescent="0.15">
      <c r="A27" s="13"/>
      <c r="B27" s="14"/>
      <c r="C27" s="14"/>
      <c r="D27" s="15"/>
      <c r="E27" s="14"/>
      <c r="F27" s="16"/>
      <c r="G27" s="17"/>
      <c r="H27" s="16"/>
    </row>
    <row r="28" spans="1:8" x14ac:dyDescent="0.15">
      <c r="A28" s="13"/>
      <c r="B28" s="14"/>
      <c r="C28" s="14"/>
      <c r="D28" s="15"/>
      <c r="E28" s="14"/>
      <c r="F28" s="16"/>
      <c r="G28" s="17"/>
      <c r="H28" s="16"/>
    </row>
    <row r="29" spans="1:8" x14ac:dyDescent="0.15">
      <c r="A29" s="13"/>
      <c r="B29" s="14"/>
      <c r="C29" s="14"/>
      <c r="D29" s="15"/>
      <c r="E29" s="14"/>
      <c r="F29" s="16"/>
      <c r="G29" s="17"/>
      <c r="H29" s="16"/>
    </row>
    <row r="30" spans="1:8" x14ac:dyDescent="0.15">
      <c r="A30" s="13"/>
      <c r="B30" s="14"/>
      <c r="C30" s="14"/>
      <c r="D30" s="15"/>
      <c r="E30" s="14"/>
      <c r="F30" s="16"/>
      <c r="G30" s="17"/>
      <c r="H30" s="16"/>
    </row>
    <row r="31" spans="1:8" x14ac:dyDescent="0.15">
      <c r="A31" s="13"/>
      <c r="B31" s="14"/>
      <c r="C31" s="14"/>
      <c r="D31" s="15"/>
      <c r="E31" s="14"/>
      <c r="F31" s="16"/>
      <c r="G31" s="17"/>
      <c r="H31" s="16"/>
    </row>
    <row r="32" spans="1:8" x14ac:dyDescent="0.15">
      <c r="A32" s="13"/>
      <c r="B32" s="14"/>
      <c r="C32" s="14"/>
      <c r="D32" s="15"/>
      <c r="E32" s="14"/>
      <c r="F32" s="16"/>
      <c r="G32" s="17"/>
      <c r="H32" s="16"/>
    </row>
    <row r="33" spans="1:8" x14ac:dyDescent="0.15">
      <c r="A33" s="13"/>
      <c r="B33" s="14"/>
      <c r="C33" s="14"/>
      <c r="D33" s="15"/>
      <c r="E33" s="14"/>
      <c r="F33" s="16"/>
      <c r="G33" s="17"/>
      <c r="H33" s="16"/>
    </row>
    <row r="34" spans="1:8" x14ac:dyDescent="0.15">
      <c r="A34" s="13"/>
      <c r="B34" s="14"/>
      <c r="C34" s="14"/>
      <c r="D34" s="15"/>
      <c r="E34" s="14"/>
      <c r="F34" s="16"/>
      <c r="G34" s="17"/>
      <c r="H34" s="16"/>
    </row>
    <row r="35" spans="1:8" x14ac:dyDescent="0.15">
      <c r="A35" s="13"/>
      <c r="B35" s="14"/>
      <c r="C35" s="14"/>
      <c r="D35" s="15"/>
      <c r="E35" s="14"/>
      <c r="F35" s="16"/>
      <c r="G35" s="17"/>
      <c r="H35" s="16"/>
    </row>
    <row r="36" spans="1:8" x14ac:dyDescent="0.15">
      <c r="A36" s="13"/>
      <c r="B36" s="14"/>
      <c r="C36" s="14"/>
      <c r="D36" s="15"/>
      <c r="E36" s="14"/>
      <c r="F36" s="16"/>
      <c r="G36" s="17"/>
      <c r="H36" s="16"/>
    </row>
    <row r="37" spans="1:8" x14ac:dyDescent="0.15">
      <c r="A37" s="13"/>
      <c r="B37" s="14"/>
      <c r="C37" s="14"/>
      <c r="D37" s="15"/>
      <c r="E37" s="14"/>
      <c r="F37" s="16"/>
      <c r="G37" s="17"/>
      <c r="H37" s="16"/>
    </row>
    <row r="38" spans="1:8" x14ac:dyDescent="0.15">
      <c r="A38" s="13"/>
      <c r="B38" s="14"/>
      <c r="C38" s="14"/>
      <c r="D38" s="15"/>
      <c r="E38" s="14"/>
      <c r="F38" s="16"/>
      <c r="G38" s="17"/>
      <c r="H38" s="16"/>
    </row>
    <row r="39" spans="1:8" x14ac:dyDescent="0.15">
      <c r="A39" s="13"/>
      <c r="B39" s="14"/>
      <c r="C39" s="14"/>
      <c r="D39" s="15"/>
      <c r="E39" s="14"/>
      <c r="F39" s="16"/>
      <c r="G39" s="17"/>
      <c r="H39" s="16"/>
    </row>
    <row r="40" spans="1:8" x14ac:dyDescent="0.15">
      <c r="A40" s="13"/>
      <c r="B40" s="14"/>
      <c r="C40" s="14"/>
      <c r="D40" s="15"/>
      <c r="E40" s="14"/>
      <c r="F40" s="16"/>
      <c r="G40" s="17"/>
      <c r="H40" s="16"/>
    </row>
    <row r="41" spans="1:8" x14ac:dyDescent="0.15">
      <c r="A41" s="13"/>
      <c r="B41" s="14"/>
      <c r="C41" s="14"/>
      <c r="D41" s="15"/>
      <c r="E41" s="14"/>
      <c r="F41" s="16"/>
      <c r="G41" s="17"/>
      <c r="H41" s="16"/>
    </row>
    <row r="42" spans="1:8" x14ac:dyDescent="0.15">
      <c r="A42" s="13"/>
      <c r="B42" s="14"/>
      <c r="C42" s="14"/>
      <c r="D42" s="15"/>
      <c r="E42" s="14"/>
      <c r="F42" s="16"/>
      <c r="G42" s="17"/>
      <c r="H42" s="16"/>
    </row>
    <row r="43" spans="1:8" x14ac:dyDescent="0.15">
      <c r="A43" s="13"/>
      <c r="B43" s="14"/>
      <c r="C43" s="14"/>
      <c r="D43" s="15"/>
      <c r="E43" s="14"/>
      <c r="F43" s="16"/>
      <c r="G43" s="17"/>
      <c r="H43" s="16"/>
    </row>
    <row r="44" spans="1:8" x14ac:dyDescent="0.15">
      <c r="A44" s="13"/>
      <c r="B44" s="14"/>
      <c r="C44" s="14"/>
      <c r="D44" s="15"/>
      <c r="E44" s="14"/>
      <c r="F44" s="16"/>
      <c r="G44" s="17"/>
      <c r="H44" s="16"/>
    </row>
    <row r="45" spans="1:8" x14ac:dyDescent="0.15">
      <c r="A45" s="13"/>
      <c r="B45" s="14"/>
      <c r="C45" s="14"/>
      <c r="D45" s="15"/>
      <c r="E45" s="14"/>
      <c r="F45" s="16"/>
      <c r="G45" s="17"/>
      <c r="H45" s="16"/>
    </row>
    <row r="46" spans="1:8" x14ac:dyDescent="0.15">
      <c r="A46" s="13"/>
      <c r="B46" s="14"/>
      <c r="C46" s="14"/>
      <c r="D46" s="15"/>
      <c r="E46" s="14"/>
      <c r="F46" s="16"/>
      <c r="G46" s="17"/>
      <c r="H46" s="16"/>
    </row>
    <row r="47" spans="1:8" x14ac:dyDescent="0.15">
      <c r="A47" s="13"/>
      <c r="B47" s="14"/>
      <c r="C47" s="14"/>
      <c r="D47" s="15"/>
      <c r="E47" s="14"/>
      <c r="F47" s="16"/>
      <c r="G47" s="17"/>
      <c r="H47" s="16"/>
    </row>
    <row r="48" spans="1:8" x14ac:dyDescent="0.15">
      <c r="A48" s="13"/>
      <c r="B48" s="14"/>
      <c r="C48" s="14"/>
      <c r="D48" s="15"/>
      <c r="E48" s="14"/>
      <c r="F48" s="16"/>
      <c r="G48" s="17"/>
      <c r="H48" s="16"/>
    </row>
    <row r="49" spans="1:8" x14ac:dyDescent="0.15">
      <c r="A49" s="13"/>
      <c r="B49" s="14"/>
      <c r="C49" s="14"/>
      <c r="D49" s="15"/>
      <c r="E49" s="14"/>
      <c r="F49" s="16"/>
      <c r="G49" s="17"/>
      <c r="H49" s="16"/>
    </row>
    <row r="50" spans="1:8" x14ac:dyDescent="0.15">
      <c r="A50" s="13"/>
      <c r="B50" s="14"/>
      <c r="C50" s="14"/>
      <c r="D50" s="15"/>
      <c r="E50" s="14"/>
      <c r="F50" s="16"/>
      <c r="G50" s="17"/>
      <c r="H50" s="16"/>
    </row>
    <row r="51" spans="1:8" x14ac:dyDescent="0.15">
      <c r="A51" s="13"/>
      <c r="B51" s="14"/>
      <c r="C51" s="14"/>
      <c r="D51" s="15"/>
      <c r="E51" s="14"/>
      <c r="F51" s="16"/>
      <c r="G51" s="17"/>
      <c r="H51" s="16"/>
    </row>
    <row r="52" spans="1:8" x14ac:dyDescent="0.15">
      <c r="A52" s="13"/>
      <c r="B52" s="14"/>
      <c r="C52" s="14"/>
      <c r="D52" s="15"/>
      <c r="E52" s="14"/>
      <c r="F52" s="16"/>
      <c r="G52" s="17"/>
      <c r="H52" s="16"/>
    </row>
    <row r="53" spans="1:8" x14ac:dyDescent="0.15">
      <c r="A53" s="13"/>
      <c r="B53" s="14"/>
      <c r="C53" s="14"/>
      <c r="D53" s="15"/>
      <c r="E53" s="14"/>
      <c r="F53" s="16"/>
      <c r="G53" s="17"/>
      <c r="H53" s="16"/>
    </row>
    <row r="54" spans="1:8" x14ac:dyDescent="0.15">
      <c r="A54" s="13"/>
      <c r="B54" s="14"/>
      <c r="C54" s="14"/>
      <c r="D54" s="15"/>
      <c r="E54" s="14"/>
      <c r="F54" s="16"/>
      <c r="G54" s="17"/>
      <c r="H54" s="16"/>
    </row>
    <row r="55" spans="1:8" x14ac:dyDescent="0.15">
      <c r="A55" s="13"/>
      <c r="B55" s="14"/>
      <c r="C55" s="14"/>
      <c r="D55" s="15"/>
      <c r="E55" s="14"/>
      <c r="F55" s="16"/>
      <c r="G55" s="17"/>
      <c r="H55" s="16"/>
    </row>
    <row r="56" spans="1:8" x14ac:dyDescent="0.15">
      <c r="A56" s="13"/>
      <c r="B56" s="14"/>
      <c r="C56" s="14"/>
      <c r="D56" s="15"/>
      <c r="E56" s="14"/>
      <c r="F56" s="16"/>
      <c r="G56" s="17"/>
      <c r="H56" s="16"/>
    </row>
    <row r="57" spans="1:8" x14ac:dyDescent="0.15">
      <c r="A57" s="13"/>
      <c r="B57" s="14"/>
      <c r="C57" s="14"/>
      <c r="D57" s="15"/>
      <c r="E57" s="14"/>
      <c r="F57" s="16"/>
      <c r="G57" s="17"/>
      <c r="H57" s="16"/>
    </row>
    <row r="58" spans="1:8" x14ac:dyDescent="0.15">
      <c r="A58" s="13"/>
      <c r="B58" s="14"/>
      <c r="C58" s="14"/>
      <c r="D58" s="15"/>
      <c r="E58" s="14"/>
      <c r="F58" s="16"/>
      <c r="G58" s="17"/>
      <c r="H58" s="16"/>
    </row>
    <row r="59" spans="1:8" x14ac:dyDescent="0.15">
      <c r="A59" s="13"/>
      <c r="B59" s="14"/>
      <c r="C59" s="14"/>
      <c r="D59" s="15"/>
      <c r="E59" s="14"/>
      <c r="F59" s="16"/>
      <c r="G59" s="17"/>
      <c r="H59" s="16"/>
    </row>
    <row r="60" spans="1:8" x14ac:dyDescent="0.15">
      <c r="A60" s="13"/>
      <c r="B60" s="14"/>
      <c r="C60" s="14"/>
      <c r="D60" s="15"/>
      <c r="E60" s="14"/>
      <c r="F60" s="16"/>
      <c r="G60" s="17"/>
      <c r="H60" s="16"/>
    </row>
    <row r="61" spans="1:8" x14ac:dyDescent="0.15">
      <c r="A61" s="13"/>
      <c r="B61" s="14"/>
      <c r="C61" s="14"/>
      <c r="D61" s="15"/>
      <c r="E61" s="14"/>
      <c r="F61" s="16"/>
      <c r="G61" s="17"/>
      <c r="H61" s="16"/>
    </row>
    <row r="62" spans="1:8" x14ac:dyDescent="0.15">
      <c r="A62" s="13"/>
      <c r="B62" s="14"/>
      <c r="C62" s="14"/>
      <c r="D62" s="15"/>
      <c r="E62" s="14"/>
      <c r="F62" s="16"/>
      <c r="G62" s="17"/>
      <c r="H62" s="16"/>
    </row>
    <row r="63" spans="1:8" x14ac:dyDescent="0.15">
      <c r="A63" s="13"/>
      <c r="B63" s="14"/>
      <c r="C63" s="14"/>
      <c r="D63" s="15"/>
      <c r="E63" s="14"/>
      <c r="F63" s="16"/>
      <c r="G63" s="17"/>
      <c r="H63" s="16"/>
    </row>
    <row r="64" spans="1:8" x14ac:dyDescent="0.15">
      <c r="A64" s="13"/>
      <c r="B64" s="14"/>
      <c r="C64" s="14"/>
      <c r="D64" s="15"/>
      <c r="E64" s="14"/>
      <c r="F64" s="16"/>
      <c r="G64" s="17"/>
      <c r="H64" s="16"/>
    </row>
    <row r="65" spans="1:8" x14ac:dyDescent="0.15">
      <c r="A65" s="13"/>
      <c r="B65" s="14"/>
      <c r="C65" s="14"/>
      <c r="D65" s="15"/>
      <c r="E65" s="14"/>
      <c r="F65" s="16"/>
      <c r="G65" s="17"/>
      <c r="H65" s="16"/>
    </row>
    <row r="66" spans="1:8" x14ac:dyDescent="0.15">
      <c r="A66" s="13"/>
      <c r="B66" s="14"/>
      <c r="C66" s="14"/>
      <c r="D66" s="15"/>
      <c r="E66" s="14"/>
      <c r="F66" s="16"/>
      <c r="G66" s="17"/>
      <c r="H66" s="16"/>
    </row>
    <row r="1048574" ht="12.75" customHeight="1" x14ac:dyDescent="0.15"/>
    <row r="1048575" ht="12.75" customHeight="1" x14ac:dyDescent="0.15"/>
  </sheetData>
  <autoFilter ref="A3:H143" xr:uid="{00000000-0009-0000-0000-00000A000000}"/>
  <mergeCells count="2">
    <mergeCell ref="A1:G1"/>
    <mergeCell ref="A24:H24"/>
  </mergeCells>
  <conditionalFormatting sqref="A22:G63 A4:G20">
    <cfRule type="cellIs" dxfId="19" priority="6" operator="equal">
      <formula>"A"</formula>
    </cfRule>
    <cfRule type="expression" dxfId="18" priority="7">
      <formula>$F4="A"</formula>
    </cfRule>
    <cfRule type="expression" dxfId="17" priority="8">
      <formula>$F4="B"</formula>
    </cfRule>
    <cfRule type="expression" dxfId="16" priority="9">
      <formula>$F4="C"</formula>
    </cfRule>
  </conditionalFormatting>
  <conditionalFormatting sqref="A21:G21">
    <cfRule type="cellIs" dxfId="15" priority="1" operator="equal">
      <formula>"A"</formula>
    </cfRule>
    <cfRule type="expression" dxfId="14" priority="2">
      <formula>$F21="A"</formula>
    </cfRule>
    <cfRule type="expression" dxfId="13" priority="3">
      <formula>$F21="B"</formula>
    </cfRule>
    <cfRule type="expression" dxfId="12" priority="4">
      <formula>$F21="C"</formula>
    </cfRule>
  </conditionalFormatting>
  <dataValidations count="3">
    <dataValidation type="list" allowBlank="1" sqref="F4:F143" xr:uid="{00000000-0002-0000-0A00-000000000000}">
      <formula1>"A,B,C,—"</formula1>
      <formula2>0</formula2>
    </dataValidation>
    <dataValidation type="list" allowBlank="1" sqref="E4:E143" xr:uid="{00000000-0002-0000-0A00-000001000000}">
      <formula1>"SDD,Accredito,Bancomat,CC moglie,Contanti,Buoni pasto,Gift card,Altro"</formula1>
      <formula2>0</formula2>
    </dataValidation>
    <dataValidation type="list" allowBlank="1" sqref="H4:H143" xr:uid="{00000000-0002-0000-0A00-000002000000}">
      <formula1>"Sì,No"</formula1>
      <formula2>0</formula2>
    </dataValidation>
  </dataValidations>
  <printOptions gridLines="1"/>
  <pageMargins left="0.7" right="0.7" top="0.75" bottom="0.75" header="0.511811023622047" footer="0.511811023622047"/>
  <pageSetup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1048576"/>
  <sheetViews>
    <sheetView showGridLines="0" zoomScaleNormal="100" workbookViewId="0">
      <pane ySplit="3" topLeftCell="A4" activePane="bottomLeft" state="frozen"/>
      <selection pane="bottomLeft" activeCell="A7" sqref="A7"/>
    </sheetView>
  </sheetViews>
  <sheetFormatPr baseColWidth="10" defaultColWidth="9.83203125" defaultRowHeight="15" customHeight="1" x14ac:dyDescent="0.15"/>
  <cols>
    <col min="1" max="1" width="13.6640625" customWidth="1"/>
    <col min="2" max="2" width="15.83203125" customWidth="1"/>
    <col min="3" max="3" width="43.1640625" customWidth="1"/>
    <col min="4" max="5" width="15.83203125" customWidth="1"/>
    <col min="6" max="6" width="9" customWidth="1"/>
    <col min="7" max="7" width="45.5" customWidth="1"/>
    <col min="8" max="8" width="11.33203125" customWidth="1"/>
    <col min="10" max="10" width="20.5" customWidth="1"/>
    <col min="11" max="11" width="18.1640625" customWidth="1"/>
  </cols>
  <sheetData>
    <row r="1" spans="1:11" ht="27.75" customHeight="1" x14ac:dyDescent="0.15">
      <c r="A1" s="2" t="s">
        <v>121</v>
      </c>
      <c r="B1" s="2"/>
      <c r="C1" s="2"/>
      <c r="D1" s="2"/>
      <c r="E1" s="2"/>
      <c r="F1" s="2"/>
      <c r="G1" s="2"/>
    </row>
    <row r="2" spans="1:11" ht="14" x14ac:dyDescent="0.15">
      <c r="F2" s="11"/>
      <c r="G2" s="10"/>
      <c r="J2" s="11" t="s">
        <v>52</v>
      </c>
      <c r="K2" s="10">
        <f>SUMIF($A:$A,"&lt;&gt;",$D:$D)</f>
        <v>2.4800000000000182</v>
      </c>
    </row>
    <row r="3" spans="1:11" ht="24" customHeight="1" x14ac:dyDescent="0.15">
      <c r="A3" s="12" t="s">
        <v>53</v>
      </c>
      <c r="B3" s="12" t="s">
        <v>54</v>
      </c>
      <c r="C3" s="12" t="s">
        <v>55</v>
      </c>
      <c r="D3" s="12" t="s">
        <v>56</v>
      </c>
      <c r="E3" s="12" t="s">
        <v>57</v>
      </c>
      <c r="F3" s="12" t="s">
        <v>14</v>
      </c>
      <c r="G3" s="12" t="s">
        <v>58</v>
      </c>
      <c r="H3" s="12" t="s">
        <v>26</v>
      </c>
      <c r="J3" s="11" t="s">
        <v>59</v>
      </c>
      <c r="K3" s="10">
        <f>'09-Sep'!$K$3+$K$2</f>
        <v>1482.6399999999999</v>
      </c>
    </row>
    <row r="4" spans="1:11" ht="18" customHeight="1" x14ac:dyDescent="0.15">
      <c r="A4" s="13">
        <v>46296</v>
      </c>
      <c r="B4" s="14" t="s">
        <v>60</v>
      </c>
      <c r="C4" s="14" t="s">
        <v>61</v>
      </c>
      <c r="D4" s="15">
        <v>-742</v>
      </c>
      <c r="E4" s="14" t="s">
        <v>62</v>
      </c>
      <c r="F4" s="16" t="s">
        <v>16</v>
      </c>
      <c r="G4" s="17" t="s">
        <v>63</v>
      </c>
      <c r="H4" s="16"/>
    </row>
    <row r="5" spans="1:11" ht="18" customHeight="1" x14ac:dyDescent="0.15">
      <c r="A5" s="13">
        <v>46296</v>
      </c>
      <c r="B5" s="14" t="s">
        <v>65</v>
      </c>
      <c r="C5" s="14" t="s">
        <v>66</v>
      </c>
      <c r="D5" s="15">
        <v>-38</v>
      </c>
      <c r="E5" s="14" t="s">
        <v>62</v>
      </c>
      <c r="F5" s="16" t="s">
        <v>18</v>
      </c>
      <c r="G5" s="17" t="s">
        <v>67</v>
      </c>
      <c r="H5" s="16"/>
    </row>
    <row r="6" spans="1:11" ht="18" customHeight="1" x14ac:dyDescent="0.15">
      <c r="A6" s="13">
        <v>46297</v>
      </c>
      <c r="B6" s="14" t="s">
        <v>69</v>
      </c>
      <c r="C6" s="14" t="s">
        <v>70</v>
      </c>
      <c r="D6" s="15">
        <v>-6.99</v>
      </c>
      <c r="E6" s="14" t="s">
        <v>62</v>
      </c>
      <c r="F6" s="16" t="s">
        <v>18</v>
      </c>
      <c r="G6" s="17" t="s">
        <v>71</v>
      </c>
      <c r="H6" s="16"/>
    </row>
    <row r="7" spans="1:11" ht="18" customHeight="1" x14ac:dyDescent="0.15">
      <c r="A7" s="13">
        <v>46298</v>
      </c>
      <c r="B7" s="14" t="s">
        <v>76</v>
      </c>
      <c r="C7" s="14" t="s">
        <v>77</v>
      </c>
      <c r="D7" s="15">
        <v>0</v>
      </c>
      <c r="E7" s="14" t="s">
        <v>101</v>
      </c>
      <c r="F7" s="16" t="s">
        <v>18</v>
      </c>
      <c r="G7" s="17"/>
      <c r="H7" s="16"/>
    </row>
    <row r="8" spans="1:11" ht="18" customHeight="1" x14ac:dyDescent="0.15">
      <c r="A8" s="13">
        <v>46304</v>
      </c>
      <c r="B8" s="14" t="s">
        <v>65</v>
      </c>
      <c r="C8" s="14" t="s">
        <v>81</v>
      </c>
      <c r="D8" s="15">
        <v>-6.99</v>
      </c>
      <c r="E8" s="14" t="s">
        <v>82</v>
      </c>
      <c r="F8" s="16" t="s">
        <v>20</v>
      </c>
      <c r="G8" s="17"/>
      <c r="H8" s="16"/>
    </row>
    <row r="9" spans="1:11" ht="18" customHeight="1" x14ac:dyDescent="0.15">
      <c r="A9" s="13">
        <v>46305</v>
      </c>
      <c r="B9" s="14" t="s">
        <v>65</v>
      </c>
      <c r="C9" s="14" t="s">
        <v>83</v>
      </c>
      <c r="D9" s="15">
        <v>-6.99</v>
      </c>
      <c r="E9" s="14" t="s">
        <v>82</v>
      </c>
      <c r="F9" s="16" t="s">
        <v>20</v>
      </c>
      <c r="G9" s="17"/>
      <c r="H9" s="16"/>
    </row>
    <row r="10" spans="1:11" ht="18" customHeight="1" x14ac:dyDescent="0.15">
      <c r="A10" s="13">
        <v>46305</v>
      </c>
      <c r="B10" s="14" t="s">
        <v>76</v>
      </c>
      <c r="C10" s="14" t="s">
        <v>77</v>
      </c>
      <c r="D10" s="15">
        <v>-170</v>
      </c>
      <c r="E10" s="14" t="s">
        <v>82</v>
      </c>
      <c r="F10" s="16" t="s">
        <v>18</v>
      </c>
      <c r="G10" s="17"/>
      <c r="H10" s="16"/>
    </row>
    <row r="11" spans="1:11" ht="18" customHeight="1" x14ac:dyDescent="0.15">
      <c r="A11" s="13">
        <v>46310</v>
      </c>
      <c r="B11" s="14" t="s">
        <v>60</v>
      </c>
      <c r="C11" s="14" t="s">
        <v>84</v>
      </c>
      <c r="D11" s="15">
        <v>-218</v>
      </c>
      <c r="E11" s="14" t="s">
        <v>62</v>
      </c>
      <c r="F11" s="16" t="s">
        <v>16</v>
      </c>
      <c r="G11" s="17" t="s">
        <v>85</v>
      </c>
      <c r="H11" s="16"/>
    </row>
    <row r="12" spans="1:11" ht="18" customHeight="1" x14ac:dyDescent="0.15">
      <c r="A12" s="13">
        <v>46310</v>
      </c>
      <c r="B12" s="14" t="s">
        <v>60</v>
      </c>
      <c r="C12" s="14" t="s">
        <v>96</v>
      </c>
      <c r="D12" s="15">
        <v>-545</v>
      </c>
      <c r="E12" s="14" t="s">
        <v>62</v>
      </c>
      <c r="F12" s="16" t="s">
        <v>16</v>
      </c>
      <c r="G12" s="17" t="s">
        <v>108</v>
      </c>
      <c r="H12" s="16"/>
    </row>
    <row r="13" spans="1:11" ht="18" customHeight="1" x14ac:dyDescent="0.15">
      <c r="A13" s="13">
        <v>46310</v>
      </c>
      <c r="B13" s="14" t="s">
        <v>69</v>
      </c>
      <c r="C13" s="14" t="s">
        <v>86</v>
      </c>
      <c r="D13" s="15">
        <v>-31</v>
      </c>
      <c r="E13" s="14" t="s">
        <v>62</v>
      </c>
      <c r="F13" s="16" t="s">
        <v>18</v>
      </c>
      <c r="G13" s="17" t="s">
        <v>71</v>
      </c>
      <c r="H13" s="16"/>
    </row>
    <row r="14" spans="1:11" ht="18" customHeight="1" x14ac:dyDescent="0.15">
      <c r="A14" s="13">
        <v>46310</v>
      </c>
      <c r="B14" s="14" t="s">
        <v>69</v>
      </c>
      <c r="C14" s="14" t="s">
        <v>87</v>
      </c>
      <c r="D14" s="15">
        <v>-6.99</v>
      </c>
      <c r="E14" s="14" t="s">
        <v>62</v>
      </c>
      <c r="F14" s="16" t="s">
        <v>18</v>
      </c>
      <c r="G14" s="17" t="s">
        <v>71</v>
      </c>
      <c r="H14" s="16"/>
    </row>
    <row r="15" spans="1:11" ht="18" customHeight="1" x14ac:dyDescent="0.15">
      <c r="A15" s="13">
        <v>46310</v>
      </c>
      <c r="B15" s="14" t="s">
        <v>69</v>
      </c>
      <c r="C15" s="14" t="s">
        <v>105</v>
      </c>
      <c r="D15" s="15">
        <v>-120</v>
      </c>
      <c r="E15" s="14" t="s">
        <v>62</v>
      </c>
      <c r="F15" s="16" t="s">
        <v>18</v>
      </c>
      <c r="G15" s="17" t="s">
        <v>106</v>
      </c>
      <c r="H15" s="16"/>
    </row>
    <row r="16" spans="1:11" ht="18" customHeight="1" x14ac:dyDescent="0.15">
      <c r="A16" s="13">
        <v>46310</v>
      </c>
      <c r="B16" s="14" t="s">
        <v>69</v>
      </c>
      <c r="C16" s="14" t="s">
        <v>107</v>
      </c>
      <c r="D16" s="15">
        <v>-20</v>
      </c>
      <c r="E16" s="14" t="s">
        <v>62</v>
      </c>
      <c r="F16" s="16" t="s">
        <v>18</v>
      </c>
      <c r="G16" s="17" t="s">
        <v>106</v>
      </c>
      <c r="H16" s="16"/>
    </row>
    <row r="17" spans="1:8" ht="18" customHeight="1" x14ac:dyDescent="0.15">
      <c r="A17" s="13">
        <v>46312</v>
      </c>
      <c r="B17" s="14" t="s">
        <v>76</v>
      </c>
      <c r="C17" s="14" t="s">
        <v>77</v>
      </c>
      <c r="D17" s="15">
        <v>-170</v>
      </c>
      <c r="E17" s="14" t="s">
        <v>82</v>
      </c>
      <c r="F17" s="16" t="s">
        <v>18</v>
      </c>
      <c r="G17" s="17"/>
      <c r="H17" s="16"/>
    </row>
    <row r="18" spans="1:8" ht="19.5" customHeight="1" x14ac:dyDescent="0.15">
      <c r="A18" s="13">
        <v>46319</v>
      </c>
      <c r="B18" s="14" t="s">
        <v>76</v>
      </c>
      <c r="C18" s="14" t="s">
        <v>77</v>
      </c>
      <c r="D18" s="15">
        <v>-170</v>
      </c>
      <c r="E18" s="14" t="s">
        <v>82</v>
      </c>
      <c r="F18" s="16" t="s">
        <v>18</v>
      </c>
      <c r="G18" s="17"/>
      <c r="H18" s="16"/>
    </row>
    <row r="19" spans="1:8" ht="18" customHeight="1" x14ac:dyDescent="0.15">
      <c r="A19" s="13">
        <v>46321</v>
      </c>
      <c r="B19" s="14" t="s">
        <v>88</v>
      </c>
      <c r="C19" s="14" t="s">
        <v>89</v>
      </c>
      <c r="D19" s="15">
        <v>-125.56</v>
      </c>
      <c r="E19" s="14" t="s">
        <v>82</v>
      </c>
      <c r="F19" s="16" t="s">
        <v>16</v>
      </c>
      <c r="G19" s="17" t="s">
        <v>90</v>
      </c>
      <c r="H19" s="16"/>
    </row>
    <row r="20" spans="1:8" ht="18" customHeight="1" x14ac:dyDescent="0.15">
      <c r="A20" s="13">
        <v>46322</v>
      </c>
      <c r="B20" s="14" t="s">
        <v>91</v>
      </c>
      <c r="C20" s="14" t="s">
        <v>92</v>
      </c>
      <c r="D20" s="15">
        <v>2380</v>
      </c>
      <c r="E20" s="14" t="s">
        <v>93</v>
      </c>
      <c r="F20" s="16" t="s">
        <v>94</v>
      </c>
      <c r="G20" s="17" t="s">
        <v>95</v>
      </c>
      <c r="H20" s="16"/>
    </row>
    <row r="21" spans="1:8" ht="18" customHeight="1" x14ac:dyDescent="0.15">
      <c r="A21" s="13">
        <v>46326</v>
      </c>
      <c r="B21" s="14" t="s">
        <v>76</v>
      </c>
      <c r="C21" s="14" t="s">
        <v>77</v>
      </c>
      <c r="D21" s="15">
        <v>0</v>
      </c>
      <c r="E21" s="14" t="s">
        <v>101</v>
      </c>
      <c r="F21" s="16" t="s">
        <v>18</v>
      </c>
      <c r="G21" s="17"/>
      <c r="H21" s="16"/>
    </row>
    <row r="22" spans="1:8" ht="18" customHeight="1" x14ac:dyDescent="0.15">
      <c r="A22" s="13">
        <v>46326</v>
      </c>
      <c r="B22" s="14" t="s">
        <v>102</v>
      </c>
      <c r="C22" s="14" t="s">
        <v>103</v>
      </c>
      <c r="D22" s="15">
        <f>-(0)</f>
        <v>0</v>
      </c>
      <c r="E22" s="14" t="s">
        <v>82</v>
      </c>
      <c r="F22" s="16" t="s">
        <v>16</v>
      </c>
      <c r="G22" s="17" t="s">
        <v>112</v>
      </c>
      <c r="H22" s="16"/>
    </row>
    <row r="23" spans="1:8" x14ac:dyDescent="0.15">
      <c r="A23" s="13"/>
      <c r="B23" s="14"/>
      <c r="C23" s="14"/>
      <c r="D23" s="15"/>
      <c r="E23" s="14"/>
      <c r="F23" s="16"/>
      <c r="G23" s="17"/>
      <c r="H23" s="16"/>
    </row>
    <row r="24" spans="1:8" ht="16.5" customHeight="1" x14ac:dyDescent="0.15">
      <c r="A24" s="1"/>
      <c r="B24" s="1"/>
      <c r="C24" s="1"/>
      <c r="D24" s="1"/>
      <c r="E24" s="1"/>
      <c r="F24" s="1"/>
      <c r="G24" s="1"/>
      <c r="H24" s="1"/>
    </row>
    <row r="25" spans="1:8" x14ac:dyDescent="0.2">
      <c r="A25" s="13"/>
      <c r="B25" s="20"/>
      <c r="C25" s="20"/>
      <c r="D25" s="20"/>
      <c r="E25" s="20"/>
      <c r="F25" s="20"/>
      <c r="G25" s="20"/>
      <c r="H25" s="16"/>
    </row>
    <row r="26" spans="1:8" x14ac:dyDescent="0.2">
      <c r="A26" s="13"/>
      <c r="B26" s="14"/>
      <c r="C26" s="14"/>
      <c r="D26" s="20"/>
      <c r="E26" s="20"/>
      <c r="F26" s="20"/>
      <c r="G26" s="20"/>
      <c r="H26" s="16"/>
    </row>
    <row r="27" spans="1:8" x14ac:dyDescent="0.15">
      <c r="A27" s="13"/>
      <c r="B27" s="14"/>
      <c r="C27" s="14"/>
      <c r="D27" s="15"/>
      <c r="E27" s="14"/>
      <c r="F27" s="16"/>
      <c r="G27" s="17"/>
      <c r="H27" s="16"/>
    </row>
    <row r="28" spans="1:8" x14ac:dyDescent="0.15">
      <c r="A28" s="13"/>
      <c r="B28" s="14"/>
      <c r="C28" s="14"/>
      <c r="D28" s="15"/>
      <c r="E28" s="14"/>
      <c r="F28" s="16"/>
      <c r="G28" s="17"/>
      <c r="H28" s="16"/>
    </row>
    <row r="29" spans="1:8" x14ac:dyDescent="0.15">
      <c r="A29" s="13"/>
      <c r="B29" s="14"/>
      <c r="C29" s="14"/>
      <c r="D29" s="15"/>
      <c r="E29" s="14"/>
      <c r="F29" s="16"/>
      <c r="G29" s="17"/>
      <c r="H29" s="16"/>
    </row>
    <row r="30" spans="1:8" x14ac:dyDescent="0.15">
      <c r="A30" s="13"/>
      <c r="B30" s="14"/>
      <c r="C30" s="14"/>
      <c r="D30" s="15"/>
      <c r="E30" s="14"/>
      <c r="F30" s="16"/>
      <c r="G30" s="17"/>
      <c r="H30" s="16"/>
    </row>
    <row r="31" spans="1:8" x14ac:dyDescent="0.15">
      <c r="A31" s="13"/>
      <c r="B31" s="14"/>
      <c r="C31" s="14"/>
      <c r="D31" s="15"/>
      <c r="E31" s="14"/>
      <c r="F31" s="16"/>
      <c r="G31" s="17"/>
      <c r="H31" s="16"/>
    </row>
    <row r="32" spans="1:8" x14ac:dyDescent="0.15">
      <c r="A32" s="13"/>
      <c r="B32" s="14"/>
      <c r="C32" s="14"/>
      <c r="D32" s="15"/>
      <c r="E32" s="14"/>
      <c r="F32" s="16"/>
      <c r="G32" s="17"/>
      <c r="H32" s="16"/>
    </row>
    <row r="33" spans="1:8" x14ac:dyDescent="0.15">
      <c r="A33" s="13"/>
      <c r="B33" s="14"/>
      <c r="C33" s="14"/>
      <c r="D33" s="15"/>
      <c r="E33" s="14"/>
      <c r="F33" s="16"/>
      <c r="G33" s="17"/>
      <c r="H33" s="16"/>
    </row>
    <row r="34" spans="1:8" x14ac:dyDescent="0.15">
      <c r="A34" s="13"/>
      <c r="B34" s="14"/>
      <c r="C34" s="14"/>
      <c r="D34" s="15"/>
      <c r="E34" s="14"/>
      <c r="F34" s="16"/>
      <c r="G34" s="17"/>
      <c r="H34" s="16"/>
    </row>
    <row r="35" spans="1:8" x14ac:dyDescent="0.15">
      <c r="A35" s="13"/>
      <c r="B35" s="14"/>
      <c r="C35" s="14"/>
      <c r="D35" s="15"/>
      <c r="E35" s="14"/>
      <c r="F35" s="16"/>
      <c r="G35" s="17"/>
      <c r="H35" s="16"/>
    </row>
    <row r="36" spans="1:8" x14ac:dyDescent="0.15">
      <c r="A36" s="13"/>
      <c r="B36" s="14"/>
      <c r="C36" s="14"/>
      <c r="D36" s="15"/>
      <c r="E36" s="14"/>
      <c r="F36" s="16"/>
      <c r="G36" s="17"/>
      <c r="H36" s="16"/>
    </row>
    <row r="37" spans="1:8" x14ac:dyDescent="0.15">
      <c r="A37" s="13"/>
      <c r="B37" s="14"/>
      <c r="C37" s="14"/>
      <c r="D37" s="15"/>
      <c r="E37" s="14"/>
      <c r="F37" s="16"/>
      <c r="G37" s="17"/>
      <c r="H37" s="16"/>
    </row>
    <row r="38" spans="1:8" x14ac:dyDescent="0.15">
      <c r="A38" s="13"/>
      <c r="B38" s="14"/>
      <c r="C38" s="14"/>
      <c r="D38" s="15"/>
      <c r="E38" s="14"/>
      <c r="F38" s="16"/>
      <c r="G38" s="17"/>
      <c r="H38" s="16"/>
    </row>
    <row r="39" spans="1:8" x14ac:dyDescent="0.15">
      <c r="A39" s="13"/>
      <c r="B39" s="14"/>
      <c r="C39" s="14"/>
      <c r="D39" s="15"/>
      <c r="E39" s="14"/>
      <c r="F39" s="16"/>
      <c r="G39" s="17"/>
      <c r="H39" s="16"/>
    </row>
    <row r="40" spans="1:8" x14ac:dyDescent="0.15">
      <c r="A40" s="13"/>
      <c r="B40" s="14"/>
      <c r="C40" s="14"/>
      <c r="D40" s="15"/>
      <c r="E40" s="14"/>
      <c r="F40" s="16"/>
      <c r="G40" s="17"/>
      <c r="H40" s="16"/>
    </row>
    <row r="41" spans="1:8" x14ac:dyDescent="0.15">
      <c r="A41" s="13"/>
      <c r="B41" s="14"/>
      <c r="C41" s="14"/>
      <c r="D41" s="15"/>
      <c r="E41" s="14"/>
      <c r="F41" s="16"/>
      <c r="G41" s="17"/>
      <c r="H41" s="16"/>
    </row>
    <row r="42" spans="1:8" x14ac:dyDescent="0.15">
      <c r="A42" s="13"/>
      <c r="B42" s="14"/>
      <c r="C42" s="14"/>
      <c r="D42" s="15"/>
      <c r="E42" s="14"/>
      <c r="F42" s="16"/>
      <c r="G42" s="17"/>
      <c r="H42" s="16"/>
    </row>
    <row r="43" spans="1:8" x14ac:dyDescent="0.15">
      <c r="A43" s="13"/>
      <c r="B43" s="14"/>
      <c r="C43" s="14"/>
      <c r="D43" s="15"/>
      <c r="E43" s="14"/>
      <c r="F43" s="16"/>
      <c r="G43" s="17"/>
      <c r="H43" s="16"/>
    </row>
    <row r="44" spans="1:8" x14ac:dyDescent="0.15">
      <c r="A44" s="13"/>
      <c r="B44" s="14"/>
      <c r="C44" s="14"/>
      <c r="D44" s="15"/>
      <c r="E44" s="14"/>
      <c r="F44" s="16"/>
      <c r="G44" s="17"/>
      <c r="H44" s="16"/>
    </row>
    <row r="45" spans="1:8" x14ac:dyDescent="0.15">
      <c r="A45" s="13"/>
      <c r="B45" s="14"/>
      <c r="C45" s="14"/>
      <c r="D45" s="15"/>
      <c r="E45" s="14"/>
      <c r="F45" s="16"/>
      <c r="G45" s="17"/>
      <c r="H45" s="16"/>
    </row>
    <row r="46" spans="1:8" x14ac:dyDescent="0.15">
      <c r="A46" s="13"/>
      <c r="B46" s="14"/>
      <c r="C46" s="14"/>
      <c r="D46" s="15"/>
      <c r="E46" s="14"/>
      <c r="F46" s="16"/>
      <c r="G46" s="17"/>
      <c r="H46" s="16"/>
    </row>
    <row r="47" spans="1:8" x14ac:dyDescent="0.15">
      <c r="A47" s="13"/>
      <c r="B47" s="14"/>
      <c r="C47" s="14"/>
      <c r="D47" s="15"/>
      <c r="E47" s="14"/>
      <c r="F47" s="16"/>
      <c r="G47" s="17"/>
      <c r="H47" s="16"/>
    </row>
    <row r="48" spans="1:8" x14ac:dyDescent="0.15">
      <c r="A48" s="13"/>
      <c r="B48" s="14"/>
      <c r="C48" s="14"/>
      <c r="D48" s="15"/>
      <c r="E48" s="14"/>
      <c r="F48" s="16"/>
      <c r="G48" s="17"/>
      <c r="H48" s="16"/>
    </row>
    <row r="49" spans="1:8" x14ac:dyDescent="0.15">
      <c r="A49" s="13"/>
      <c r="B49" s="14"/>
      <c r="C49" s="14"/>
      <c r="D49" s="15"/>
      <c r="E49" s="14"/>
      <c r="F49" s="16"/>
      <c r="G49" s="17"/>
      <c r="H49" s="16"/>
    </row>
    <row r="50" spans="1:8" x14ac:dyDescent="0.15">
      <c r="A50" s="13"/>
      <c r="B50" s="14"/>
      <c r="C50" s="14"/>
      <c r="D50" s="15"/>
      <c r="E50" s="14"/>
      <c r="F50" s="16"/>
      <c r="G50" s="17"/>
      <c r="H50" s="16"/>
    </row>
    <row r="51" spans="1:8" x14ac:dyDescent="0.15">
      <c r="A51" s="13"/>
      <c r="B51" s="14"/>
      <c r="C51" s="14"/>
      <c r="D51" s="15"/>
      <c r="E51" s="14"/>
      <c r="F51" s="16"/>
      <c r="G51" s="17"/>
      <c r="H51" s="16"/>
    </row>
    <row r="52" spans="1:8" x14ac:dyDescent="0.15">
      <c r="A52" s="13"/>
      <c r="B52" s="14"/>
      <c r="C52" s="14"/>
      <c r="D52" s="15"/>
      <c r="E52" s="14"/>
      <c r="F52" s="16"/>
      <c r="G52" s="17"/>
      <c r="H52" s="16"/>
    </row>
    <row r="53" spans="1:8" x14ac:dyDescent="0.15">
      <c r="A53" s="13"/>
      <c r="B53" s="14"/>
      <c r="C53" s="14"/>
      <c r="D53" s="15"/>
      <c r="E53" s="14"/>
      <c r="F53" s="16"/>
      <c r="G53" s="17"/>
      <c r="H53" s="16"/>
    </row>
    <row r="54" spans="1:8" x14ac:dyDescent="0.15">
      <c r="A54" s="13"/>
      <c r="B54" s="14"/>
      <c r="C54" s="14"/>
      <c r="D54" s="15"/>
      <c r="E54" s="14"/>
      <c r="F54" s="16"/>
      <c r="G54" s="17"/>
      <c r="H54" s="16"/>
    </row>
    <row r="55" spans="1:8" x14ac:dyDescent="0.15">
      <c r="A55" s="13"/>
      <c r="B55" s="14"/>
      <c r="C55" s="14"/>
      <c r="D55" s="15"/>
      <c r="E55" s="14"/>
      <c r="F55" s="16"/>
      <c r="G55" s="17"/>
      <c r="H55" s="16"/>
    </row>
    <row r="56" spans="1:8" x14ac:dyDescent="0.15">
      <c r="A56" s="13"/>
      <c r="B56" s="14"/>
      <c r="C56" s="14"/>
      <c r="D56" s="15"/>
      <c r="E56" s="14"/>
      <c r="F56" s="16"/>
      <c r="G56" s="17"/>
      <c r="H56" s="16"/>
    </row>
    <row r="57" spans="1:8" x14ac:dyDescent="0.15">
      <c r="A57" s="13"/>
      <c r="B57" s="14"/>
      <c r="C57" s="14"/>
      <c r="D57" s="15"/>
      <c r="E57" s="14"/>
      <c r="F57" s="16"/>
      <c r="G57" s="17"/>
      <c r="H57" s="16"/>
    </row>
    <row r="58" spans="1:8" x14ac:dyDescent="0.15">
      <c r="A58" s="13"/>
      <c r="B58" s="14"/>
      <c r="C58" s="14"/>
      <c r="D58" s="15"/>
      <c r="E58" s="14"/>
      <c r="F58" s="16"/>
      <c r="G58" s="17"/>
      <c r="H58" s="16"/>
    </row>
    <row r="59" spans="1:8" x14ac:dyDescent="0.15">
      <c r="A59" s="13"/>
      <c r="B59" s="14"/>
      <c r="C59" s="14"/>
      <c r="D59" s="15"/>
      <c r="E59" s="14"/>
      <c r="F59" s="16"/>
      <c r="G59" s="17"/>
      <c r="H59" s="16"/>
    </row>
    <row r="60" spans="1:8" x14ac:dyDescent="0.15">
      <c r="A60" s="13"/>
      <c r="B60" s="14"/>
      <c r="C60" s="14"/>
      <c r="D60" s="15"/>
      <c r="E60" s="14"/>
      <c r="F60" s="16"/>
      <c r="G60" s="17"/>
      <c r="H60" s="16"/>
    </row>
    <row r="61" spans="1:8" x14ac:dyDescent="0.15">
      <c r="A61" s="13"/>
      <c r="B61" s="14"/>
      <c r="C61" s="14"/>
      <c r="D61" s="15"/>
      <c r="E61" s="14"/>
      <c r="F61" s="16"/>
      <c r="G61" s="17"/>
      <c r="H61" s="16"/>
    </row>
    <row r="62" spans="1:8" x14ac:dyDescent="0.15">
      <c r="A62" s="13"/>
      <c r="B62" s="14"/>
      <c r="C62" s="14"/>
      <c r="D62" s="15"/>
      <c r="E62" s="14"/>
      <c r="F62" s="16"/>
      <c r="G62" s="17"/>
      <c r="H62" s="16"/>
    </row>
    <row r="63" spans="1:8" x14ac:dyDescent="0.15">
      <c r="A63" s="13"/>
      <c r="B63" s="14"/>
      <c r="C63" s="14"/>
      <c r="D63" s="15"/>
      <c r="E63" s="14"/>
      <c r="F63" s="16"/>
      <c r="G63" s="17"/>
      <c r="H63" s="16"/>
    </row>
    <row r="64" spans="1:8" x14ac:dyDescent="0.15">
      <c r="A64" s="13"/>
      <c r="B64" s="14"/>
      <c r="C64" s="14"/>
      <c r="D64" s="15"/>
      <c r="E64" s="14"/>
      <c r="F64" s="16"/>
      <c r="G64" s="17"/>
      <c r="H64" s="16"/>
    </row>
    <row r="65" spans="1:8" x14ac:dyDescent="0.15">
      <c r="A65" s="13"/>
      <c r="B65" s="14"/>
      <c r="C65" s="14"/>
      <c r="D65" s="15"/>
      <c r="E65" s="14"/>
      <c r="F65" s="16"/>
      <c r="G65" s="17"/>
      <c r="H65" s="16"/>
    </row>
    <row r="66" spans="1:8" x14ac:dyDescent="0.15">
      <c r="A66" s="13"/>
      <c r="B66" s="14"/>
      <c r="C66" s="14"/>
      <c r="D66" s="15"/>
      <c r="E66" s="14"/>
      <c r="F66" s="16"/>
      <c r="G66" s="17"/>
      <c r="H66" s="16"/>
    </row>
    <row r="67" spans="1:8" x14ac:dyDescent="0.15">
      <c r="A67" s="13"/>
      <c r="B67" s="14"/>
      <c r="C67" s="14"/>
      <c r="D67" s="15"/>
      <c r="E67" s="14"/>
      <c r="F67" s="16"/>
      <c r="G67" s="17"/>
      <c r="H67" s="16"/>
    </row>
    <row r="1048574" ht="12.75" customHeight="1" x14ac:dyDescent="0.15"/>
    <row r="1048575" ht="12.75" customHeight="1" x14ac:dyDescent="0.15"/>
    <row r="1048576" ht="12.75" customHeight="1" x14ac:dyDescent="0.15"/>
  </sheetData>
  <autoFilter ref="A3:H143" xr:uid="{00000000-0009-0000-0000-00000B000000}"/>
  <mergeCells count="2">
    <mergeCell ref="A1:G1"/>
    <mergeCell ref="A24:H24"/>
  </mergeCells>
  <conditionalFormatting sqref="A4:G63">
    <cfRule type="cellIs" dxfId="11" priority="2" operator="equal">
      <formula>"A"</formula>
    </cfRule>
    <cfRule type="expression" dxfId="10" priority="3">
      <formula>$F4="A"</formula>
    </cfRule>
    <cfRule type="expression" dxfId="9" priority="4">
      <formula>$F4="B"</formula>
    </cfRule>
    <cfRule type="expression" dxfId="8" priority="5">
      <formula>$F4="C"</formula>
    </cfRule>
  </conditionalFormatting>
  <dataValidations count="3">
    <dataValidation type="list" allowBlank="1" sqref="F4:F143" xr:uid="{00000000-0002-0000-0B00-000000000000}">
      <formula1>"A,B,C,—"</formula1>
      <formula2>0</formula2>
    </dataValidation>
    <dataValidation type="list" allowBlank="1" sqref="E4:E143" xr:uid="{00000000-0002-0000-0B00-000001000000}">
      <formula1>"SDD,Accredito,Bancomat,CC moglie,Contanti,Buoni pasto,Gift card,Altro"</formula1>
      <formula2>0</formula2>
    </dataValidation>
    <dataValidation type="list" allowBlank="1" sqref="H4:H143" xr:uid="{00000000-0002-0000-0B00-000002000000}">
      <formula1>"Sì,No"</formula1>
      <formula2>0</formula2>
    </dataValidation>
  </dataValidations>
  <printOptions gridLines="1"/>
  <pageMargins left="0.7" right="0.7" top="0.75" bottom="0.75" header="0.511811023622047" footer="0.511811023622047"/>
  <pageSetup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K1048576"/>
  <sheetViews>
    <sheetView showGridLines="0" zoomScaleNormal="100" workbookViewId="0">
      <pane ySplit="3" topLeftCell="A4" activePane="bottomLeft" state="frozen"/>
      <selection pane="bottomLeft" activeCell="A8" sqref="A8"/>
    </sheetView>
  </sheetViews>
  <sheetFormatPr baseColWidth="10" defaultColWidth="9.83203125" defaultRowHeight="15" customHeight="1" x14ac:dyDescent="0.15"/>
  <cols>
    <col min="1" max="1" width="13.6640625" customWidth="1"/>
    <col min="2" max="2" width="15.83203125" customWidth="1"/>
    <col min="3" max="3" width="43.1640625" customWidth="1"/>
    <col min="4" max="5" width="15.83203125" customWidth="1"/>
    <col min="6" max="6" width="9" customWidth="1"/>
    <col min="7" max="7" width="45.5" customWidth="1"/>
    <col min="8" max="8" width="11.33203125" customWidth="1"/>
    <col min="10" max="10" width="20.5" customWidth="1"/>
    <col min="11" max="11" width="18.1640625" customWidth="1"/>
  </cols>
  <sheetData>
    <row r="1" spans="1:11" ht="27.75" customHeight="1" x14ac:dyDescent="0.15">
      <c r="A1" s="2" t="s">
        <v>122</v>
      </c>
      <c r="B1" s="2"/>
      <c r="C1" s="2"/>
      <c r="D1" s="2"/>
      <c r="E1" s="2"/>
      <c r="F1" s="2"/>
      <c r="G1" s="2"/>
    </row>
    <row r="2" spans="1:11" ht="14" x14ac:dyDescent="0.15">
      <c r="F2" s="11"/>
      <c r="G2" s="10"/>
      <c r="J2" s="11" t="s">
        <v>52</v>
      </c>
      <c r="K2" s="10">
        <f>SUMIF($A:$A,"&lt;&gt;",$D:$D)</f>
        <v>-557.71</v>
      </c>
    </row>
    <row r="3" spans="1:11" ht="24" customHeight="1" x14ac:dyDescent="0.15">
      <c r="A3" s="12" t="s">
        <v>53</v>
      </c>
      <c r="B3" s="12" t="s">
        <v>54</v>
      </c>
      <c r="C3" s="12" t="s">
        <v>55</v>
      </c>
      <c r="D3" s="12" t="s">
        <v>56</v>
      </c>
      <c r="E3" s="12" t="s">
        <v>57</v>
      </c>
      <c r="F3" s="12" t="s">
        <v>14</v>
      </c>
      <c r="G3" s="12" t="s">
        <v>58</v>
      </c>
      <c r="H3" s="12" t="s">
        <v>26</v>
      </c>
      <c r="J3" s="11" t="s">
        <v>59</v>
      </c>
      <c r="K3" s="10">
        <f>'10-Oct'!$K$3+$K$2</f>
        <v>924.92999999999984</v>
      </c>
    </row>
    <row r="4" spans="1:11" ht="18" customHeight="1" x14ac:dyDescent="0.15">
      <c r="A4" s="13">
        <v>46327</v>
      </c>
      <c r="B4" s="14" t="s">
        <v>60</v>
      </c>
      <c r="C4" s="14" t="s">
        <v>61</v>
      </c>
      <c r="D4" s="15">
        <v>-742</v>
      </c>
      <c r="E4" s="14" t="s">
        <v>62</v>
      </c>
      <c r="F4" s="16" t="s">
        <v>16</v>
      </c>
      <c r="G4" s="17" t="s">
        <v>63</v>
      </c>
      <c r="H4" s="16"/>
    </row>
    <row r="5" spans="1:11" ht="18" customHeight="1" x14ac:dyDescent="0.15">
      <c r="A5" s="13">
        <v>46327</v>
      </c>
      <c r="B5" s="14" t="s">
        <v>65</v>
      </c>
      <c r="C5" s="14" t="s">
        <v>66</v>
      </c>
      <c r="D5" s="15">
        <v>-38</v>
      </c>
      <c r="E5" s="14" t="s">
        <v>62</v>
      </c>
      <c r="F5" s="16" t="s">
        <v>18</v>
      </c>
      <c r="G5" s="17" t="s">
        <v>67</v>
      </c>
      <c r="H5" s="16"/>
    </row>
    <row r="6" spans="1:11" ht="18" customHeight="1" x14ac:dyDescent="0.15">
      <c r="A6" s="13">
        <v>46328</v>
      </c>
      <c r="B6" s="14" t="s">
        <v>69</v>
      </c>
      <c r="C6" s="14" t="s">
        <v>70</v>
      </c>
      <c r="D6" s="15">
        <v>-6.99</v>
      </c>
      <c r="E6" s="14" t="s">
        <v>62</v>
      </c>
      <c r="F6" s="16" t="s">
        <v>18</v>
      </c>
      <c r="G6" s="17" t="s">
        <v>71</v>
      </c>
      <c r="H6" s="16"/>
    </row>
    <row r="7" spans="1:11" ht="18" customHeight="1" x14ac:dyDescent="0.15">
      <c r="A7" s="13">
        <v>46333</v>
      </c>
      <c r="B7" s="14" t="s">
        <v>76</v>
      </c>
      <c r="C7" s="14" t="s">
        <v>77</v>
      </c>
      <c r="D7" s="15">
        <v>-170</v>
      </c>
      <c r="E7" s="14" t="s">
        <v>82</v>
      </c>
      <c r="F7" s="16" t="s">
        <v>18</v>
      </c>
      <c r="G7" s="17"/>
      <c r="H7" s="16"/>
    </row>
    <row r="8" spans="1:11" ht="18" customHeight="1" x14ac:dyDescent="0.15">
      <c r="A8" s="13">
        <v>46335</v>
      </c>
      <c r="B8" s="14" t="s">
        <v>65</v>
      </c>
      <c r="C8" s="14" t="s">
        <v>81</v>
      </c>
      <c r="D8" s="15">
        <v>-6.99</v>
      </c>
      <c r="E8" s="14" t="s">
        <v>82</v>
      </c>
      <c r="F8" s="16" t="s">
        <v>20</v>
      </c>
      <c r="G8" s="17"/>
      <c r="H8" s="16"/>
    </row>
    <row r="9" spans="1:11" ht="18" customHeight="1" x14ac:dyDescent="0.15">
      <c r="A9" s="13">
        <v>46336</v>
      </c>
      <c r="B9" s="14" t="s">
        <v>65</v>
      </c>
      <c r="C9" s="14" t="s">
        <v>83</v>
      </c>
      <c r="D9" s="15">
        <v>-6.99</v>
      </c>
      <c r="E9" s="14" t="s">
        <v>82</v>
      </c>
      <c r="F9" s="16" t="s">
        <v>20</v>
      </c>
      <c r="G9" s="17"/>
      <c r="H9" s="16"/>
    </row>
    <row r="10" spans="1:11" ht="18" customHeight="1" x14ac:dyDescent="0.15">
      <c r="A10" s="13">
        <v>46340</v>
      </c>
      <c r="B10" s="14" t="s">
        <v>76</v>
      </c>
      <c r="C10" s="14" t="s">
        <v>77</v>
      </c>
      <c r="D10" s="15">
        <v>-170</v>
      </c>
      <c r="E10" s="14" t="s">
        <v>82</v>
      </c>
      <c r="F10" s="16" t="s">
        <v>18</v>
      </c>
      <c r="G10" s="17"/>
      <c r="H10" s="16"/>
    </row>
    <row r="11" spans="1:11" ht="18" customHeight="1" x14ac:dyDescent="0.15">
      <c r="A11" s="13">
        <v>46341</v>
      </c>
      <c r="B11" s="14" t="s">
        <v>60</v>
      </c>
      <c r="C11" s="14" t="s">
        <v>84</v>
      </c>
      <c r="D11" s="15">
        <v>-218</v>
      </c>
      <c r="E11" s="14" t="s">
        <v>62</v>
      </c>
      <c r="F11" s="16" t="s">
        <v>16</v>
      </c>
      <c r="G11" s="17" t="s">
        <v>85</v>
      </c>
      <c r="H11" s="16"/>
    </row>
    <row r="12" spans="1:11" ht="18" customHeight="1" x14ac:dyDescent="0.15">
      <c r="A12" s="13">
        <v>46341</v>
      </c>
      <c r="B12" s="14" t="s">
        <v>60</v>
      </c>
      <c r="C12" s="14" t="s">
        <v>96</v>
      </c>
      <c r="D12" s="15">
        <v>-545</v>
      </c>
      <c r="E12" s="14" t="s">
        <v>62</v>
      </c>
      <c r="F12" s="16" t="s">
        <v>16</v>
      </c>
      <c r="G12" s="17" t="s">
        <v>108</v>
      </c>
      <c r="H12" s="16"/>
    </row>
    <row r="13" spans="1:11" ht="18" customHeight="1" x14ac:dyDescent="0.15">
      <c r="A13" s="13">
        <v>46341</v>
      </c>
      <c r="B13" s="14" t="s">
        <v>69</v>
      </c>
      <c r="C13" s="14" t="s">
        <v>86</v>
      </c>
      <c r="D13" s="15">
        <v>-31</v>
      </c>
      <c r="E13" s="14" t="s">
        <v>62</v>
      </c>
      <c r="F13" s="16" t="s">
        <v>18</v>
      </c>
      <c r="G13" s="17" t="s">
        <v>71</v>
      </c>
      <c r="H13" s="16"/>
    </row>
    <row r="14" spans="1:11" ht="18" customHeight="1" x14ac:dyDescent="0.15">
      <c r="A14" s="13">
        <v>46341</v>
      </c>
      <c r="B14" s="14" t="s">
        <v>69</v>
      </c>
      <c r="C14" s="14" t="s">
        <v>87</v>
      </c>
      <c r="D14" s="15">
        <v>-6.99</v>
      </c>
      <c r="E14" s="14" t="s">
        <v>62</v>
      </c>
      <c r="F14" s="16" t="s">
        <v>18</v>
      </c>
      <c r="G14" s="17" t="s">
        <v>71</v>
      </c>
      <c r="H14" s="16"/>
    </row>
    <row r="15" spans="1:11" ht="18" customHeight="1" x14ac:dyDescent="0.15">
      <c r="A15" s="13">
        <v>46341</v>
      </c>
      <c r="B15" s="14" t="s">
        <v>69</v>
      </c>
      <c r="C15" s="14" t="s">
        <v>105</v>
      </c>
      <c r="D15" s="15">
        <v>-120</v>
      </c>
      <c r="E15" s="14" t="s">
        <v>62</v>
      </c>
      <c r="F15" s="16" t="s">
        <v>18</v>
      </c>
      <c r="G15" s="17" t="s">
        <v>106</v>
      </c>
      <c r="H15" s="16"/>
    </row>
    <row r="16" spans="1:11" ht="18" customHeight="1" x14ac:dyDescent="0.15">
      <c r="A16" s="13">
        <v>46341</v>
      </c>
      <c r="B16" s="14" t="s">
        <v>69</v>
      </c>
      <c r="C16" s="14" t="s">
        <v>107</v>
      </c>
      <c r="D16" s="15">
        <v>-20</v>
      </c>
      <c r="E16" s="14" t="s">
        <v>62</v>
      </c>
      <c r="F16" s="16" t="s">
        <v>18</v>
      </c>
      <c r="G16" s="17" t="s">
        <v>106</v>
      </c>
      <c r="H16" s="16"/>
    </row>
    <row r="17" spans="1:8" ht="18" customHeight="1" x14ac:dyDescent="0.15">
      <c r="A17" s="13">
        <v>46347</v>
      </c>
      <c r="B17" s="14" t="s">
        <v>98</v>
      </c>
      <c r="C17" s="14" t="s">
        <v>99</v>
      </c>
      <c r="D17" s="15">
        <v>-154</v>
      </c>
      <c r="E17" s="14" t="s">
        <v>62</v>
      </c>
      <c r="F17" s="16" t="s">
        <v>18</v>
      </c>
      <c r="G17" s="17" t="s">
        <v>100</v>
      </c>
      <c r="H17" s="16"/>
    </row>
    <row r="18" spans="1:8" ht="18" customHeight="1" x14ac:dyDescent="0.15">
      <c r="A18" s="13">
        <v>46347</v>
      </c>
      <c r="B18" s="14" t="s">
        <v>76</v>
      </c>
      <c r="C18" s="14" t="s">
        <v>77</v>
      </c>
      <c r="D18" s="15">
        <v>-170</v>
      </c>
      <c r="E18" s="14" t="s">
        <v>82</v>
      </c>
      <c r="F18" s="16" t="s">
        <v>18</v>
      </c>
      <c r="G18" s="17"/>
      <c r="H18" s="16"/>
    </row>
    <row r="19" spans="1:8" ht="19.5" customHeight="1" x14ac:dyDescent="0.15">
      <c r="A19" s="13">
        <v>46352</v>
      </c>
      <c r="B19" s="14" t="s">
        <v>88</v>
      </c>
      <c r="C19" s="14" t="s">
        <v>89</v>
      </c>
      <c r="D19" s="15">
        <v>-125.56</v>
      </c>
      <c r="E19" s="14" t="s">
        <v>82</v>
      </c>
      <c r="F19" s="16" t="s">
        <v>16</v>
      </c>
      <c r="G19" s="17" t="s">
        <v>90</v>
      </c>
      <c r="H19" s="16"/>
    </row>
    <row r="20" spans="1:8" ht="18" customHeight="1" x14ac:dyDescent="0.15">
      <c r="A20" s="13">
        <v>46353</v>
      </c>
      <c r="B20" s="14" t="s">
        <v>91</v>
      </c>
      <c r="C20" s="14" t="s">
        <v>92</v>
      </c>
      <c r="D20" s="15">
        <v>2380</v>
      </c>
      <c r="E20" s="14" t="s">
        <v>93</v>
      </c>
      <c r="F20" s="16" t="s">
        <v>94</v>
      </c>
      <c r="G20" s="17" t="s">
        <v>95</v>
      </c>
      <c r="H20" s="16"/>
    </row>
    <row r="21" spans="1:8" ht="18" customHeight="1" x14ac:dyDescent="0.15">
      <c r="A21" s="13">
        <v>46354</v>
      </c>
      <c r="B21" s="14" t="s">
        <v>76</v>
      </c>
      <c r="C21" s="14" t="s">
        <v>77</v>
      </c>
      <c r="D21" s="15">
        <v>-170</v>
      </c>
      <c r="E21" s="14" t="s">
        <v>101</v>
      </c>
      <c r="F21" s="16" t="s">
        <v>18</v>
      </c>
      <c r="G21" s="17"/>
      <c r="H21" s="16"/>
    </row>
    <row r="22" spans="1:8" ht="18" customHeight="1" x14ac:dyDescent="0.15">
      <c r="A22" s="13">
        <v>46356</v>
      </c>
      <c r="B22" s="14" t="s">
        <v>109</v>
      </c>
      <c r="C22" s="14" t="s">
        <v>110</v>
      </c>
      <c r="D22" s="15">
        <v>-236.19</v>
      </c>
      <c r="E22" s="14" t="s">
        <v>62</v>
      </c>
      <c r="F22" s="16" t="s">
        <v>16</v>
      </c>
      <c r="G22" s="17" t="s">
        <v>111</v>
      </c>
      <c r="H22" s="16"/>
    </row>
    <row r="23" spans="1:8" ht="18" customHeight="1" x14ac:dyDescent="0.15">
      <c r="A23" s="13">
        <v>46356</v>
      </c>
      <c r="B23" s="14" t="s">
        <v>102</v>
      </c>
      <c r="C23" s="14" t="s">
        <v>103</v>
      </c>
      <c r="D23" s="15">
        <f>-(0)</f>
        <v>0</v>
      </c>
      <c r="E23" s="14" t="s">
        <v>82</v>
      </c>
      <c r="F23" s="16" t="s">
        <v>16</v>
      </c>
      <c r="G23" s="17" t="s">
        <v>112</v>
      </c>
      <c r="H23" s="16"/>
    </row>
    <row r="24" spans="1:8" x14ac:dyDescent="0.2">
      <c r="A24" s="13"/>
      <c r="B24" s="18"/>
      <c r="C24" s="18"/>
      <c r="D24" s="18"/>
      <c r="E24" s="18"/>
      <c r="F24" s="18"/>
      <c r="G24" s="19"/>
      <c r="H24" s="16"/>
    </row>
    <row r="25" spans="1:8" ht="16.5" customHeight="1" x14ac:dyDescent="0.15">
      <c r="A25" s="1"/>
      <c r="B25" s="1"/>
      <c r="C25" s="1"/>
      <c r="D25" s="1"/>
      <c r="E25" s="1"/>
      <c r="F25" s="1"/>
      <c r="G25" s="1"/>
      <c r="H25" s="1"/>
    </row>
    <row r="26" spans="1:8" x14ac:dyDescent="0.15">
      <c r="A26" s="13"/>
      <c r="B26" s="14"/>
      <c r="C26" s="14"/>
      <c r="D26" s="15"/>
      <c r="E26" s="14"/>
      <c r="F26" s="16"/>
      <c r="G26" s="17"/>
      <c r="H26" s="16"/>
    </row>
    <row r="27" spans="1:8" x14ac:dyDescent="0.15">
      <c r="A27" s="13"/>
      <c r="B27" s="14"/>
      <c r="C27" s="14"/>
      <c r="D27" s="15"/>
      <c r="E27" s="14"/>
      <c r="F27" s="16"/>
      <c r="G27" s="17"/>
      <c r="H27" s="16"/>
    </row>
    <row r="28" spans="1:8" x14ac:dyDescent="0.15">
      <c r="A28" s="13"/>
      <c r="B28" s="14"/>
      <c r="C28" s="14"/>
      <c r="D28" s="15"/>
      <c r="E28" s="14"/>
      <c r="F28" s="16"/>
      <c r="G28" s="17"/>
      <c r="H28" s="16"/>
    </row>
    <row r="29" spans="1:8" x14ac:dyDescent="0.15">
      <c r="A29" s="13"/>
      <c r="B29" s="14"/>
      <c r="C29" s="14"/>
      <c r="D29" s="15"/>
      <c r="E29" s="14"/>
      <c r="F29" s="16"/>
      <c r="G29" s="17"/>
      <c r="H29" s="16"/>
    </row>
    <row r="30" spans="1:8" x14ac:dyDescent="0.15">
      <c r="A30" s="13"/>
      <c r="B30" s="14"/>
      <c r="C30" s="14"/>
      <c r="D30" s="15"/>
      <c r="E30" s="14"/>
      <c r="F30" s="16"/>
      <c r="G30" s="17"/>
      <c r="H30" s="16"/>
    </row>
    <row r="31" spans="1:8" x14ac:dyDescent="0.15">
      <c r="A31" s="13"/>
      <c r="B31" s="14"/>
      <c r="C31" s="14"/>
      <c r="D31" s="15"/>
      <c r="E31" s="14"/>
      <c r="F31" s="16"/>
      <c r="G31" s="17"/>
      <c r="H31" s="16"/>
    </row>
    <row r="32" spans="1:8" x14ac:dyDescent="0.15">
      <c r="A32" s="13"/>
      <c r="B32" s="14"/>
      <c r="C32" s="14"/>
      <c r="D32" s="15"/>
      <c r="E32" s="14"/>
      <c r="F32" s="16"/>
      <c r="G32" s="17"/>
      <c r="H32" s="16"/>
    </row>
    <row r="33" spans="1:8" x14ac:dyDescent="0.15">
      <c r="A33" s="13"/>
      <c r="B33" s="14"/>
      <c r="C33" s="14"/>
      <c r="D33" s="15"/>
      <c r="E33" s="14"/>
      <c r="F33" s="16"/>
      <c r="G33" s="17"/>
      <c r="H33" s="16"/>
    </row>
    <row r="34" spans="1:8" x14ac:dyDescent="0.15">
      <c r="A34" s="13"/>
      <c r="B34" s="14"/>
      <c r="C34" s="14"/>
      <c r="D34" s="15"/>
      <c r="E34" s="14"/>
      <c r="F34" s="16"/>
      <c r="G34" s="17"/>
      <c r="H34" s="16"/>
    </row>
    <row r="35" spans="1:8" x14ac:dyDescent="0.15">
      <c r="A35" s="13"/>
      <c r="B35" s="14"/>
      <c r="C35" s="14"/>
      <c r="D35" s="15"/>
      <c r="E35" s="14"/>
      <c r="F35" s="16"/>
      <c r="G35" s="17"/>
      <c r="H35" s="16"/>
    </row>
    <row r="36" spans="1:8" x14ac:dyDescent="0.15">
      <c r="A36" s="13"/>
      <c r="B36" s="14"/>
      <c r="C36" s="14"/>
      <c r="D36" s="15"/>
      <c r="E36" s="14"/>
      <c r="F36" s="16"/>
      <c r="G36" s="17"/>
      <c r="H36" s="16"/>
    </row>
    <row r="37" spans="1:8" x14ac:dyDescent="0.15">
      <c r="A37" s="13"/>
      <c r="B37" s="14"/>
      <c r="C37" s="14"/>
      <c r="D37" s="15"/>
      <c r="E37" s="14"/>
      <c r="F37" s="16"/>
      <c r="G37" s="17"/>
      <c r="H37" s="16"/>
    </row>
    <row r="38" spans="1:8" x14ac:dyDescent="0.15">
      <c r="A38" s="13"/>
      <c r="B38" s="14"/>
      <c r="C38" s="14"/>
      <c r="D38" s="15"/>
      <c r="E38" s="14"/>
      <c r="F38" s="16"/>
      <c r="G38" s="17"/>
      <c r="H38" s="16"/>
    </row>
    <row r="39" spans="1:8" x14ac:dyDescent="0.15">
      <c r="A39" s="13"/>
      <c r="B39" s="14"/>
      <c r="C39" s="14"/>
      <c r="D39" s="15"/>
      <c r="E39" s="14"/>
      <c r="F39" s="16"/>
      <c r="G39" s="17"/>
      <c r="H39" s="16"/>
    </row>
    <row r="40" spans="1:8" x14ac:dyDescent="0.15">
      <c r="A40" s="13"/>
      <c r="B40" s="14"/>
      <c r="C40" s="14"/>
      <c r="D40" s="15"/>
      <c r="E40" s="14"/>
      <c r="F40" s="16"/>
      <c r="G40" s="17"/>
      <c r="H40" s="16"/>
    </row>
    <row r="41" spans="1:8" x14ac:dyDescent="0.15">
      <c r="A41" s="13"/>
      <c r="B41" s="14"/>
      <c r="C41" s="14"/>
      <c r="D41" s="15"/>
      <c r="E41" s="14"/>
      <c r="F41" s="16"/>
      <c r="G41" s="17"/>
      <c r="H41" s="16"/>
    </row>
    <row r="42" spans="1:8" x14ac:dyDescent="0.15">
      <c r="A42" s="13"/>
      <c r="B42" s="14"/>
      <c r="C42" s="14"/>
      <c r="D42" s="15"/>
      <c r="E42" s="14"/>
      <c r="F42" s="16"/>
      <c r="G42" s="17"/>
      <c r="H42" s="16"/>
    </row>
    <row r="43" spans="1:8" x14ac:dyDescent="0.15">
      <c r="A43" s="13"/>
      <c r="B43" s="14"/>
      <c r="C43" s="14"/>
      <c r="D43" s="15"/>
      <c r="E43" s="14"/>
      <c r="F43" s="16"/>
      <c r="G43" s="17"/>
      <c r="H43" s="16"/>
    </row>
    <row r="44" spans="1:8" x14ac:dyDescent="0.15">
      <c r="A44" s="13"/>
      <c r="B44" s="14"/>
      <c r="C44" s="14"/>
      <c r="D44" s="15"/>
      <c r="E44" s="14"/>
      <c r="F44" s="16"/>
      <c r="G44" s="17"/>
      <c r="H44" s="16"/>
    </row>
    <row r="45" spans="1:8" x14ac:dyDescent="0.15">
      <c r="A45" s="13"/>
      <c r="B45" s="14"/>
      <c r="C45" s="14"/>
      <c r="D45" s="15"/>
      <c r="E45" s="14"/>
      <c r="F45" s="16"/>
      <c r="G45" s="17"/>
      <c r="H45" s="16"/>
    </row>
    <row r="46" spans="1:8" x14ac:dyDescent="0.15">
      <c r="A46" s="13"/>
      <c r="B46" s="14"/>
      <c r="C46" s="14"/>
      <c r="D46" s="15"/>
      <c r="E46" s="14"/>
      <c r="F46" s="16"/>
      <c r="G46" s="17"/>
      <c r="H46" s="16"/>
    </row>
    <row r="47" spans="1:8" x14ac:dyDescent="0.15">
      <c r="A47" s="13"/>
      <c r="B47" s="14"/>
      <c r="C47" s="14"/>
      <c r="D47" s="15"/>
      <c r="E47" s="14"/>
      <c r="F47" s="16"/>
      <c r="G47" s="17"/>
      <c r="H47" s="16"/>
    </row>
    <row r="48" spans="1:8" x14ac:dyDescent="0.15">
      <c r="A48" s="13"/>
      <c r="B48" s="14"/>
      <c r="C48" s="14"/>
      <c r="D48" s="15"/>
      <c r="E48" s="14"/>
      <c r="F48" s="16"/>
      <c r="G48" s="17"/>
      <c r="H48" s="16"/>
    </row>
    <row r="49" spans="1:8" x14ac:dyDescent="0.15">
      <c r="A49" s="13"/>
      <c r="B49" s="14"/>
      <c r="C49" s="14"/>
      <c r="D49" s="15"/>
      <c r="E49" s="14"/>
      <c r="F49" s="16"/>
      <c r="G49" s="17"/>
      <c r="H49" s="16"/>
    </row>
    <row r="50" spans="1:8" x14ac:dyDescent="0.15">
      <c r="A50" s="13"/>
      <c r="B50" s="14"/>
      <c r="C50" s="14"/>
      <c r="D50" s="15"/>
      <c r="E50" s="14"/>
      <c r="F50" s="16"/>
      <c r="G50" s="17"/>
      <c r="H50" s="16"/>
    </row>
    <row r="51" spans="1:8" x14ac:dyDescent="0.15">
      <c r="A51" s="13"/>
      <c r="B51" s="14"/>
      <c r="C51" s="14"/>
      <c r="D51" s="15"/>
      <c r="E51" s="14"/>
      <c r="F51" s="16"/>
      <c r="G51" s="17"/>
      <c r="H51" s="16"/>
    </row>
    <row r="52" spans="1:8" x14ac:dyDescent="0.15">
      <c r="A52" s="13"/>
      <c r="B52" s="14"/>
      <c r="C52" s="14"/>
      <c r="D52" s="15"/>
      <c r="E52" s="14"/>
      <c r="F52" s="16"/>
      <c r="G52" s="17"/>
      <c r="H52" s="16"/>
    </row>
    <row r="53" spans="1:8" x14ac:dyDescent="0.15">
      <c r="A53" s="13"/>
      <c r="B53" s="14"/>
      <c r="C53" s="14"/>
      <c r="D53" s="15"/>
      <c r="E53" s="14"/>
      <c r="F53" s="16"/>
      <c r="G53" s="17"/>
      <c r="H53" s="16"/>
    </row>
    <row r="54" spans="1:8" x14ac:dyDescent="0.15">
      <c r="A54" s="13"/>
      <c r="B54" s="14"/>
      <c r="C54" s="14"/>
      <c r="D54" s="15"/>
      <c r="E54" s="14"/>
      <c r="F54" s="16"/>
      <c r="G54" s="17"/>
      <c r="H54" s="16"/>
    </row>
    <row r="55" spans="1:8" x14ac:dyDescent="0.15">
      <c r="A55" s="13"/>
      <c r="B55" s="14"/>
      <c r="C55" s="14"/>
      <c r="D55" s="15"/>
      <c r="E55" s="14"/>
      <c r="F55" s="16"/>
      <c r="G55" s="17"/>
      <c r="H55" s="16"/>
    </row>
    <row r="56" spans="1:8" x14ac:dyDescent="0.15">
      <c r="A56" s="13"/>
      <c r="B56" s="14"/>
      <c r="C56" s="14"/>
      <c r="D56" s="15"/>
      <c r="E56" s="14"/>
      <c r="F56" s="16"/>
      <c r="G56" s="17"/>
      <c r="H56" s="16"/>
    </row>
    <row r="57" spans="1:8" x14ac:dyDescent="0.15">
      <c r="A57" s="13"/>
      <c r="B57" s="14"/>
      <c r="C57" s="14"/>
      <c r="D57" s="15"/>
      <c r="E57" s="14"/>
      <c r="F57" s="16"/>
      <c r="G57" s="17"/>
      <c r="H57" s="16"/>
    </row>
    <row r="58" spans="1:8" x14ac:dyDescent="0.15">
      <c r="A58" s="13"/>
      <c r="B58" s="14"/>
      <c r="C58" s="14"/>
      <c r="D58" s="15"/>
      <c r="E58" s="14"/>
      <c r="F58" s="16"/>
      <c r="G58" s="17"/>
      <c r="H58" s="16"/>
    </row>
    <row r="59" spans="1:8" x14ac:dyDescent="0.15">
      <c r="A59" s="13"/>
      <c r="B59" s="14"/>
      <c r="C59" s="14"/>
      <c r="D59" s="15"/>
      <c r="E59" s="14"/>
      <c r="F59" s="16"/>
      <c r="G59" s="17"/>
      <c r="H59" s="16"/>
    </row>
    <row r="60" spans="1:8" x14ac:dyDescent="0.15">
      <c r="A60" s="13"/>
      <c r="B60" s="14"/>
      <c r="C60" s="14"/>
      <c r="D60" s="15"/>
      <c r="E60" s="14"/>
      <c r="F60" s="16"/>
      <c r="G60" s="17"/>
      <c r="H60" s="16"/>
    </row>
    <row r="61" spans="1:8" x14ac:dyDescent="0.15">
      <c r="A61" s="13"/>
      <c r="B61" s="14"/>
      <c r="C61" s="14"/>
      <c r="D61" s="15"/>
      <c r="E61" s="14"/>
      <c r="F61" s="16"/>
      <c r="G61" s="17"/>
      <c r="H61" s="16"/>
    </row>
    <row r="62" spans="1:8" x14ac:dyDescent="0.15">
      <c r="A62" s="13"/>
      <c r="B62" s="14"/>
      <c r="C62" s="14"/>
      <c r="D62" s="15"/>
      <c r="E62" s="14"/>
      <c r="F62" s="16"/>
      <c r="G62" s="17"/>
      <c r="H62" s="16"/>
    </row>
    <row r="63" spans="1:8" x14ac:dyDescent="0.15">
      <c r="A63" s="13"/>
      <c r="B63" s="14"/>
      <c r="C63" s="14"/>
      <c r="D63" s="15"/>
      <c r="E63" s="14"/>
      <c r="F63" s="16"/>
      <c r="G63" s="17"/>
      <c r="H63" s="16"/>
    </row>
    <row r="64" spans="1:8" x14ac:dyDescent="0.15">
      <c r="A64" s="13"/>
      <c r="B64" s="14"/>
      <c r="C64" s="14"/>
      <c r="D64" s="15"/>
      <c r="E64" s="14"/>
      <c r="F64" s="16"/>
      <c r="G64" s="17"/>
      <c r="H64" s="16"/>
    </row>
    <row r="65" spans="1:8" x14ac:dyDescent="0.15">
      <c r="A65" s="13"/>
      <c r="B65" s="14"/>
      <c r="C65" s="14"/>
      <c r="D65" s="15"/>
      <c r="E65" s="14"/>
      <c r="F65" s="16"/>
      <c r="G65" s="17"/>
      <c r="H65" s="16"/>
    </row>
    <row r="66" spans="1:8" x14ac:dyDescent="0.15">
      <c r="A66" s="13"/>
      <c r="B66" s="14"/>
      <c r="C66" s="14"/>
      <c r="D66" s="15"/>
      <c r="E66" s="14"/>
      <c r="F66" s="16"/>
      <c r="G66" s="17"/>
      <c r="H66" s="16"/>
    </row>
    <row r="1048574" ht="12.75" customHeight="1" x14ac:dyDescent="0.15"/>
    <row r="1048575" ht="12.75" customHeight="1" x14ac:dyDescent="0.15"/>
    <row r="1048576" ht="12.75" customHeight="1" x14ac:dyDescent="0.15"/>
  </sheetData>
  <autoFilter ref="A3:H143" xr:uid="{00000000-0009-0000-0000-00000C000000}"/>
  <mergeCells count="2">
    <mergeCell ref="A1:G1"/>
    <mergeCell ref="A25:H25"/>
  </mergeCells>
  <conditionalFormatting sqref="A4:G63">
    <cfRule type="cellIs" dxfId="7" priority="2" operator="equal">
      <formula>"A"</formula>
    </cfRule>
    <cfRule type="expression" dxfId="6" priority="3">
      <formula>$F4="A"</formula>
    </cfRule>
    <cfRule type="expression" dxfId="5" priority="4">
      <formula>$F4="B"</formula>
    </cfRule>
    <cfRule type="expression" dxfId="4" priority="5">
      <formula>$F4="C"</formula>
    </cfRule>
  </conditionalFormatting>
  <dataValidations count="3">
    <dataValidation type="list" allowBlank="1" sqref="F4:F143" xr:uid="{00000000-0002-0000-0C00-000000000000}">
      <formula1>"A,B,C,—"</formula1>
      <formula2>0</formula2>
    </dataValidation>
    <dataValidation type="list" allowBlank="1" sqref="E4:E143" xr:uid="{00000000-0002-0000-0C00-000001000000}">
      <formula1>"SDD,Accredito,Bancomat,CC moglie,Contanti,Buoni pasto,Gift card,Altro"</formula1>
      <formula2>0</formula2>
    </dataValidation>
    <dataValidation type="list" allowBlank="1" sqref="H4:H143" xr:uid="{00000000-0002-0000-0C00-000002000000}">
      <formula1>"Sì,No"</formula1>
      <formula2>0</formula2>
    </dataValidation>
  </dataValidations>
  <printOptions gridLines="1"/>
  <pageMargins left="0.7" right="0.7" top="0.75" bottom="0.75" header="0.511811023622047" footer="0.511811023622047"/>
  <pageSetup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K1048576"/>
  <sheetViews>
    <sheetView showGridLines="0" zoomScaleNormal="100" workbookViewId="0">
      <pane ySplit="3" topLeftCell="A4" activePane="bottomLeft" state="frozen"/>
      <selection pane="bottomLeft" activeCell="A7" sqref="A7"/>
    </sheetView>
  </sheetViews>
  <sheetFormatPr baseColWidth="10" defaultColWidth="9.83203125" defaultRowHeight="15" customHeight="1" x14ac:dyDescent="0.15"/>
  <cols>
    <col min="1" max="1" width="13.6640625" customWidth="1"/>
    <col min="2" max="2" width="15.83203125" customWidth="1"/>
    <col min="3" max="3" width="43.1640625" customWidth="1"/>
    <col min="4" max="5" width="15.83203125" customWidth="1"/>
    <col min="6" max="6" width="9" customWidth="1"/>
    <col min="7" max="7" width="45.5" customWidth="1"/>
    <col min="8" max="8" width="11.33203125" customWidth="1"/>
    <col min="10" max="10" width="20.5" customWidth="1"/>
    <col min="11" max="11" width="18.1640625" customWidth="1"/>
  </cols>
  <sheetData>
    <row r="1" spans="1:11" ht="27.75" customHeight="1" x14ac:dyDescent="0.15">
      <c r="A1" s="2" t="s">
        <v>123</v>
      </c>
      <c r="B1" s="2"/>
      <c r="C1" s="2"/>
      <c r="D1" s="2"/>
      <c r="E1" s="2"/>
      <c r="F1" s="2"/>
      <c r="G1" s="2"/>
    </row>
    <row r="2" spans="1:11" ht="14" x14ac:dyDescent="0.15">
      <c r="F2" s="11"/>
      <c r="G2" s="10"/>
      <c r="J2" s="11" t="s">
        <v>52</v>
      </c>
      <c r="K2" s="10">
        <f>SUMIF($A:$A,"&lt;&gt;",$D:$D)</f>
        <v>2212.48</v>
      </c>
    </row>
    <row r="3" spans="1:11" ht="24" customHeight="1" x14ac:dyDescent="0.15">
      <c r="A3" s="12" t="s">
        <v>53</v>
      </c>
      <c r="B3" s="12" t="s">
        <v>54</v>
      </c>
      <c r="C3" s="12" t="s">
        <v>55</v>
      </c>
      <c r="D3" s="12" t="s">
        <v>56</v>
      </c>
      <c r="E3" s="12" t="s">
        <v>57</v>
      </c>
      <c r="F3" s="12" t="s">
        <v>14</v>
      </c>
      <c r="G3" s="12" t="s">
        <v>58</v>
      </c>
      <c r="H3" s="12" t="s">
        <v>26</v>
      </c>
      <c r="J3" s="11" t="s">
        <v>59</v>
      </c>
      <c r="K3" s="10">
        <f>'11-Nov'!$K$3+$K$2</f>
        <v>3137.41</v>
      </c>
    </row>
    <row r="4" spans="1:11" ht="18" customHeight="1" x14ac:dyDescent="0.15">
      <c r="A4" s="13">
        <v>46357</v>
      </c>
      <c r="B4" s="14" t="s">
        <v>60</v>
      </c>
      <c r="C4" s="14" t="s">
        <v>61</v>
      </c>
      <c r="D4" s="15">
        <v>-742</v>
      </c>
      <c r="E4" s="14" t="s">
        <v>62</v>
      </c>
      <c r="F4" s="16" t="s">
        <v>16</v>
      </c>
      <c r="G4" s="17" t="s">
        <v>63</v>
      </c>
      <c r="H4" s="16"/>
    </row>
    <row r="5" spans="1:11" ht="18" customHeight="1" x14ac:dyDescent="0.15">
      <c r="A5" s="13">
        <v>46357</v>
      </c>
      <c r="B5" s="14" t="s">
        <v>65</v>
      </c>
      <c r="C5" s="14" t="s">
        <v>66</v>
      </c>
      <c r="D5" s="15">
        <v>-38</v>
      </c>
      <c r="E5" s="14" t="s">
        <v>62</v>
      </c>
      <c r="F5" s="16" t="s">
        <v>18</v>
      </c>
      <c r="G5" s="17" t="s">
        <v>67</v>
      </c>
      <c r="H5" s="16"/>
    </row>
    <row r="6" spans="1:11" ht="18" customHeight="1" x14ac:dyDescent="0.15">
      <c r="A6" s="13">
        <v>46358</v>
      </c>
      <c r="B6" s="14" t="s">
        <v>69</v>
      </c>
      <c r="C6" s="14" t="s">
        <v>70</v>
      </c>
      <c r="D6" s="15">
        <v>-6.99</v>
      </c>
      <c r="E6" s="14" t="s">
        <v>62</v>
      </c>
      <c r="F6" s="16" t="s">
        <v>18</v>
      </c>
      <c r="G6" s="17" t="s">
        <v>71</v>
      </c>
      <c r="H6" s="16"/>
    </row>
    <row r="7" spans="1:11" ht="18" customHeight="1" x14ac:dyDescent="0.15">
      <c r="A7" s="13">
        <v>46361</v>
      </c>
      <c r="B7" s="14" t="s">
        <v>76</v>
      </c>
      <c r="C7" s="14" t="s">
        <v>77</v>
      </c>
      <c r="D7" s="15">
        <v>-170</v>
      </c>
      <c r="E7" s="14" t="s">
        <v>82</v>
      </c>
      <c r="F7" s="16" t="s">
        <v>18</v>
      </c>
      <c r="G7" s="17"/>
      <c r="H7" s="16"/>
    </row>
    <row r="8" spans="1:11" ht="18" customHeight="1" x14ac:dyDescent="0.15">
      <c r="A8" s="13">
        <v>46365</v>
      </c>
      <c r="B8" s="14" t="s">
        <v>65</v>
      </c>
      <c r="C8" s="14" t="s">
        <v>81</v>
      </c>
      <c r="D8" s="15">
        <v>-6.99</v>
      </c>
      <c r="E8" s="14" t="s">
        <v>82</v>
      </c>
      <c r="F8" s="16" t="s">
        <v>20</v>
      </c>
      <c r="G8" s="17"/>
      <c r="H8" s="16"/>
    </row>
    <row r="9" spans="1:11" ht="18" customHeight="1" x14ac:dyDescent="0.15">
      <c r="A9" s="13">
        <v>46366</v>
      </c>
      <c r="B9" s="14" t="s">
        <v>65</v>
      </c>
      <c r="C9" s="14" t="s">
        <v>83</v>
      </c>
      <c r="D9" s="15">
        <v>-6.99</v>
      </c>
      <c r="E9" s="14" t="s">
        <v>82</v>
      </c>
      <c r="F9" s="16" t="s">
        <v>20</v>
      </c>
      <c r="G9" s="17"/>
      <c r="H9" s="16"/>
    </row>
    <row r="10" spans="1:11" ht="18" customHeight="1" x14ac:dyDescent="0.15">
      <c r="A10" s="13">
        <v>46368</v>
      </c>
      <c r="B10" s="14" t="s">
        <v>76</v>
      </c>
      <c r="C10" s="14" t="s">
        <v>77</v>
      </c>
      <c r="D10" s="15">
        <v>-170</v>
      </c>
      <c r="E10" s="14" t="s">
        <v>82</v>
      </c>
      <c r="F10" s="16" t="s">
        <v>18</v>
      </c>
      <c r="G10" s="17"/>
      <c r="H10" s="16"/>
    </row>
    <row r="11" spans="1:11" ht="18" customHeight="1" x14ac:dyDescent="0.15">
      <c r="A11" s="13">
        <v>46371</v>
      </c>
      <c r="B11" s="14" t="s">
        <v>60</v>
      </c>
      <c r="C11" s="14" t="s">
        <v>84</v>
      </c>
      <c r="D11" s="15">
        <v>-218</v>
      </c>
      <c r="E11" s="14" t="s">
        <v>62</v>
      </c>
      <c r="F11" s="16" t="s">
        <v>16</v>
      </c>
      <c r="G11" s="17" t="s">
        <v>85</v>
      </c>
      <c r="H11" s="16"/>
    </row>
    <row r="12" spans="1:11" ht="18" customHeight="1" x14ac:dyDescent="0.15">
      <c r="A12" s="13">
        <v>46371</v>
      </c>
      <c r="B12" s="14" t="s">
        <v>60</v>
      </c>
      <c r="C12" s="14" t="s">
        <v>96</v>
      </c>
      <c r="D12" s="15">
        <v>-545</v>
      </c>
      <c r="E12" s="14" t="s">
        <v>62</v>
      </c>
      <c r="F12" s="16" t="s">
        <v>16</v>
      </c>
      <c r="G12" s="17" t="s">
        <v>108</v>
      </c>
      <c r="H12" s="16"/>
    </row>
    <row r="13" spans="1:11" ht="18" customHeight="1" x14ac:dyDescent="0.15">
      <c r="A13" s="13">
        <v>46371</v>
      </c>
      <c r="B13" s="14" t="s">
        <v>69</v>
      </c>
      <c r="C13" s="14" t="s">
        <v>86</v>
      </c>
      <c r="D13" s="15">
        <v>-31</v>
      </c>
      <c r="E13" s="14" t="s">
        <v>62</v>
      </c>
      <c r="F13" s="16" t="s">
        <v>18</v>
      </c>
      <c r="G13" s="17" t="s">
        <v>71</v>
      </c>
      <c r="H13" s="16"/>
    </row>
    <row r="14" spans="1:11" ht="18" customHeight="1" x14ac:dyDescent="0.15">
      <c r="A14" s="13">
        <v>46371</v>
      </c>
      <c r="B14" s="14" t="s">
        <v>69</v>
      </c>
      <c r="C14" s="14" t="s">
        <v>87</v>
      </c>
      <c r="D14" s="15">
        <v>-6.99</v>
      </c>
      <c r="E14" s="14" t="s">
        <v>62</v>
      </c>
      <c r="F14" s="16" t="s">
        <v>18</v>
      </c>
      <c r="G14" s="17" t="s">
        <v>71</v>
      </c>
      <c r="H14" s="16"/>
    </row>
    <row r="15" spans="1:11" ht="18" customHeight="1" x14ac:dyDescent="0.15">
      <c r="A15" s="13">
        <v>46371</v>
      </c>
      <c r="B15" s="14" t="s">
        <v>69</v>
      </c>
      <c r="C15" s="14" t="s">
        <v>105</v>
      </c>
      <c r="D15" s="15">
        <v>-120</v>
      </c>
      <c r="E15" s="14" t="s">
        <v>62</v>
      </c>
      <c r="F15" s="16" t="s">
        <v>18</v>
      </c>
      <c r="G15" s="17" t="s">
        <v>106</v>
      </c>
      <c r="H15" s="16"/>
    </row>
    <row r="16" spans="1:11" ht="18" customHeight="1" x14ac:dyDescent="0.15">
      <c r="A16" s="13">
        <v>46371</v>
      </c>
      <c r="B16" s="14" t="s">
        <v>69</v>
      </c>
      <c r="C16" s="14" t="s">
        <v>107</v>
      </c>
      <c r="D16" s="15">
        <v>-20</v>
      </c>
      <c r="E16" s="14" t="s">
        <v>62</v>
      </c>
      <c r="F16" s="16" t="s">
        <v>18</v>
      </c>
      <c r="G16" s="17" t="s">
        <v>106</v>
      </c>
      <c r="H16" s="16"/>
    </row>
    <row r="17" spans="1:8" ht="18" customHeight="1" x14ac:dyDescent="0.15">
      <c r="A17" s="13">
        <v>46375</v>
      </c>
      <c r="B17" s="14" t="s">
        <v>76</v>
      </c>
      <c r="C17" s="14" t="s">
        <v>77</v>
      </c>
      <c r="D17" s="15">
        <v>-170</v>
      </c>
      <c r="E17" s="14" t="s">
        <v>82</v>
      </c>
      <c r="F17" s="16" t="s">
        <v>18</v>
      </c>
      <c r="G17" s="17"/>
      <c r="H17" s="16"/>
    </row>
    <row r="18" spans="1:8" ht="19.5" customHeight="1" x14ac:dyDescent="0.15">
      <c r="A18" s="13">
        <v>46382</v>
      </c>
      <c r="B18" s="14" t="s">
        <v>88</v>
      </c>
      <c r="C18" s="14" t="s">
        <v>89</v>
      </c>
      <c r="D18" s="15">
        <v>-125.56</v>
      </c>
      <c r="E18" s="14" t="s">
        <v>82</v>
      </c>
      <c r="F18" s="16" t="s">
        <v>16</v>
      </c>
      <c r="G18" s="17" t="s">
        <v>90</v>
      </c>
      <c r="H18" s="16"/>
    </row>
    <row r="19" spans="1:8" ht="18" customHeight="1" x14ac:dyDescent="0.15">
      <c r="A19" s="13">
        <v>46382</v>
      </c>
      <c r="B19" s="14" t="s">
        <v>76</v>
      </c>
      <c r="C19" s="14" t="s">
        <v>77</v>
      </c>
      <c r="D19" s="15">
        <v>-170</v>
      </c>
      <c r="E19" s="14" t="s">
        <v>82</v>
      </c>
      <c r="F19" s="16" t="s">
        <v>18</v>
      </c>
      <c r="G19" s="17"/>
      <c r="H19" s="16"/>
    </row>
    <row r="20" spans="1:8" ht="18" customHeight="1" x14ac:dyDescent="0.15">
      <c r="A20" s="13">
        <v>46383</v>
      </c>
      <c r="B20" s="14" t="s">
        <v>91</v>
      </c>
      <c r="C20" s="14" t="s">
        <v>92</v>
      </c>
      <c r="D20" s="15">
        <v>2380</v>
      </c>
      <c r="E20" s="14" t="s">
        <v>93</v>
      </c>
      <c r="F20" s="16" t="s">
        <v>94</v>
      </c>
      <c r="G20" s="17" t="s">
        <v>95</v>
      </c>
      <c r="H20" s="16"/>
    </row>
    <row r="21" spans="1:8" ht="18" customHeight="1" x14ac:dyDescent="0.15">
      <c r="A21" s="13">
        <v>46383</v>
      </c>
      <c r="B21" s="14" t="s">
        <v>91</v>
      </c>
      <c r="C21" s="14" t="s">
        <v>124</v>
      </c>
      <c r="D21" s="15">
        <f>SUMIFS($D:$D,$A:$A,DATE(2026,12,27),$C:$C,"Stipendio netto")</f>
        <v>2380</v>
      </c>
      <c r="E21" s="14" t="s">
        <v>93</v>
      </c>
      <c r="F21" s="16" t="s">
        <v>94</v>
      </c>
      <c r="G21" s="17"/>
      <c r="H21" s="16"/>
    </row>
    <row r="22" spans="1:8" ht="18" customHeight="1" x14ac:dyDescent="0.15">
      <c r="A22" s="13">
        <v>46387</v>
      </c>
      <c r="B22" s="14" t="s">
        <v>102</v>
      </c>
      <c r="C22" s="14" t="s">
        <v>103</v>
      </c>
      <c r="D22" s="15">
        <f>-(0)</f>
        <v>0</v>
      </c>
      <c r="E22" s="14" t="s">
        <v>82</v>
      </c>
      <c r="F22" s="16" t="s">
        <v>16</v>
      </c>
      <c r="G22" s="17" t="s">
        <v>112</v>
      </c>
      <c r="H22" s="16"/>
    </row>
    <row r="23" spans="1:8" x14ac:dyDescent="0.2">
      <c r="A23" s="13"/>
      <c r="B23" s="18"/>
      <c r="C23" s="18"/>
      <c r="D23" s="18"/>
      <c r="E23" s="18"/>
      <c r="F23" s="18"/>
      <c r="G23" s="19"/>
      <c r="H23" s="16"/>
    </row>
    <row r="24" spans="1:8" ht="16.5" customHeight="1" x14ac:dyDescent="0.15">
      <c r="A24" s="1"/>
      <c r="B24" s="1"/>
      <c r="C24" s="1"/>
      <c r="D24" s="1"/>
      <c r="E24" s="1"/>
      <c r="F24" s="1"/>
      <c r="G24" s="1"/>
      <c r="H24" s="1"/>
    </row>
    <row r="25" spans="1:8" x14ac:dyDescent="0.15">
      <c r="A25" s="13"/>
      <c r="B25" s="14"/>
      <c r="C25" s="14"/>
      <c r="D25" s="15"/>
      <c r="E25" s="14"/>
      <c r="F25" s="16"/>
      <c r="G25" s="17"/>
      <c r="H25" s="16"/>
    </row>
    <row r="26" spans="1:8" x14ac:dyDescent="0.15">
      <c r="A26" s="13"/>
      <c r="B26" s="14"/>
      <c r="C26" s="14"/>
      <c r="D26" s="15"/>
      <c r="E26" s="14"/>
      <c r="F26" s="16"/>
      <c r="G26" s="17"/>
      <c r="H26" s="16"/>
    </row>
    <row r="27" spans="1:8" x14ac:dyDescent="0.15">
      <c r="A27" s="13"/>
      <c r="B27" s="14"/>
      <c r="C27" s="14"/>
      <c r="D27" s="15"/>
      <c r="E27" s="14"/>
      <c r="F27" s="16"/>
      <c r="G27" s="17"/>
      <c r="H27" s="16"/>
    </row>
    <row r="28" spans="1:8" x14ac:dyDescent="0.15">
      <c r="A28" s="13"/>
      <c r="B28" s="14"/>
      <c r="C28" s="14"/>
      <c r="D28" s="15"/>
      <c r="E28" s="14"/>
      <c r="F28" s="16"/>
      <c r="G28" s="17"/>
      <c r="H28" s="16"/>
    </row>
    <row r="29" spans="1:8" x14ac:dyDescent="0.15">
      <c r="A29" s="13"/>
      <c r="B29" s="14"/>
      <c r="C29" s="14"/>
      <c r="D29" s="15"/>
      <c r="E29" s="14"/>
      <c r="F29" s="16"/>
      <c r="G29" s="17"/>
      <c r="H29" s="16"/>
    </row>
    <row r="30" spans="1:8" x14ac:dyDescent="0.15">
      <c r="A30" s="13"/>
      <c r="B30" s="14"/>
      <c r="C30" s="14"/>
      <c r="D30" s="15"/>
      <c r="E30" s="14"/>
      <c r="F30" s="16"/>
      <c r="G30" s="17"/>
      <c r="H30" s="16"/>
    </row>
    <row r="31" spans="1:8" x14ac:dyDescent="0.15">
      <c r="A31" s="13"/>
      <c r="B31" s="14"/>
      <c r="C31" s="14"/>
      <c r="D31" s="15"/>
      <c r="E31" s="14"/>
      <c r="F31" s="16"/>
      <c r="G31" s="17"/>
      <c r="H31" s="16"/>
    </row>
    <row r="32" spans="1:8" x14ac:dyDescent="0.15">
      <c r="A32" s="13"/>
      <c r="B32" s="14"/>
      <c r="C32" s="14"/>
      <c r="D32" s="15"/>
      <c r="E32" s="14"/>
      <c r="F32" s="16"/>
      <c r="G32" s="17"/>
      <c r="H32" s="16"/>
    </row>
    <row r="33" spans="1:8" x14ac:dyDescent="0.15">
      <c r="A33" s="13"/>
      <c r="B33" s="14"/>
      <c r="C33" s="14"/>
      <c r="D33" s="15"/>
      <c r="E33" s="14"/>
      <c r="F33" s="16"/>
      <c r="G33" s="17"/>
      <c r="H33" s="16"/>
    </row>
    <row r="34" spans="1:8" x14ac:dyDescent="0.15">
      <c r="A34" s="13"/>
      <c r="B34" s="14"/>
      <c r="C34" s="14"/>
      <c r="D34" s="15"/>
      <c r="E34" s="14"/>
      <c r="F34" s="16"/>
      <c r="G34" s="17"/>
      <c r="H34" s="16"/>
    </row>
    <row r="35" spans="1:8" x14ac:dyDescent="0.15">
      <c r="A35" s="13"/>
      <c r="B35" s="14"/>
      <c r="C35" s="14"/>
      <c r="D35" s="15"/>
      <c r="E35" s="14"/>
      <c r="F35" s="16"/>
      <c r="G35" s="17"/>
      <c r="H35" s="16"/>
    </row>
    <row r="36" spans="1:8" x14ac:dyDescent="0.15">
      <c r="A36" s="13"/>
      <c r="B36" s="14"/>
      <c r="C36" s="14"/>
      <c r="D36" s="15"/>
      <c r="E36" s="14"/>
      <c r="F36" s="16"/>
      <c r="G36" s="17"/>
      <c r="H36" s="16"/>
    </row>
    <row r="37" spans="1:8" x14ac:dyDescent="0.15">
      <c r="A37" s="13"/>
      <c r="B37" s="14"/>
      <c r="C37" s="14"/>
      <c r="D37" s="15"/>
      <c r="E37" s="14"/>
      <c r="F37" s="16"/>
      <c r="G37" s="17"/>
      <c r="H37" s="16"/>
    </row>
    <row r="38" spans="1:8" x14ac:dyDescent="0.15">
      <c r="A38" s="13"/>
      <c r="B38" s="14"/>
      <c r="C38" s="14"/>
      <c r="D38" s="15"/>
      <c r="E38" s="14"/>
      <c r="F38" s="16"/>
      <c r="G38" s="17"/>
      <c r="H38" s="16"/>
    </row>
    <row r="39" spans="1:8" x14ac:dyDescent="0.15">
      <c r="A39" s="13"/>
      <c r="B39" s="14"/>
      <c r="C39" s="14"/>
      <c r="D39" s="15"/>
      <c r="E39" s="14"/>
      <c r="F39" s="16"/>
      <c r="G39" s="17"/>
      <c r="H39" s="16"/>
    </row>
    <row r="40" spans="1:8" x14ac:dyDescent="0.15">
      <c r="A40" s="13"/>
      <c r="B40" s="14"/>
      <c r="C40" s="14"/>
      <c r="D40" s="15"/>
      <c r="E40" s="14"/>
      <c r="F40" s="16"/>
      <c r="G40" s="17"/>
      <c r="H40" s="16"/>
    </row>
    <row r="41" spans="1:8" x14ac:dyDescent="0.15">
      <c r="A41" s="13"/>
      <c r="B41" s="14"/>
      <c r="C41" s="14"/>
      <c r="D41" s="15"/>
      <c r="E41" s="14"/>
      <c r="F41" s="16"/>
      <c r="G41" s="17"/>
      <c r="H41" s="16"/>
    </row>
    <row r="42" spans="1:8" x14ac:dyDescent="0.15">
      <c r="A42" s="13"/>
      <c r="B42" s="14"/>
      <c r="C42" s="14"/>
      <c r="D42" s="15"/>
      <c r="E42" s="14"/>
      <c r="F42" s="16"/>
      <c r="G42" s="17"/>
      <c r="H42" s="16"/>
    </row>
    <row r="43" spans="1:8" x14ac:dyDescent="0.15">
      <c r="A43" s="13"/>
      <c r="B43" s="14"/>
      <c r="C43" s="14"/>
      <c r="D43" s="15"/>
      <c r="E43" s="14"/>
      <c r="F43" s="16"/>
      <c r="G43" s="17"/>
      <c r="H43" s="16"/>
    </row>
    <row r="44" spans="1:8" x14ac:dyDescent="0.15">
      <c r="A44" s="13"/>
      <c r="B44" s="14"/>
      <c r="C44" s="14"/>
      <c r="D44" s="15"/>
      <c r="E44" s="14"/>
      <c r="F44" s="16"/>
      <c r="G44" s="17"/>
      <c r="H44" s="16"/>
    </row>
    <row r="45" spans="1:8" x14ac:dyDescent="0.15">
      <c r="A45" s="13"/>
      <c r="B45" s="14"/>
      <c r="C45" s="14"/>
      <c r="D45" s="15"/>
      <c r="E45" s="14"/>
      <c r="F45" s="16"/>
      <c r="G45" s="17"/>
      <c r="H45" s="16"/>
    </row>
    <row r="46" spans="1:8" x14ac:dyDescent="0.15">
      <c r="A46" s="13"/>
      <c r="B46" s="14"/>
      <c r="C46" s="14"/>
      <c r="D46" s="15"/>
      <c r="E46" s="14"/>
      <c r="F46" s="16"/>
      <c r="G46" s="17"/>
      <c r="H46" s="16"/>
    </row>
    <row r="47" spans="1:8" x14ac:dyDescent="0.15">
      <c r="A47" s="13"/>
      <c r="B47" s="14"/>
      <c r="C47" s="14"/>
      <c r="D47" s="15"/>
      <c r="E47" s="14"/>
      <c r="F47" s="16"/>
      <c r="G47" s="17"/>
      <c r="H47" s="16"/>
    </row>
    <row r="48" spans="1:8" x14ac:dyDescent="0.15">
      <c r="A48" s="13"/>
      <c r="B48" s="14"/>
      <c r="C48" s="14"/>
      <c r="D48" s="15"/>
      <c r="E48" s="14"/>
      <c r="F48" s="16"/>
      <c r="G48" s="17"/>
      <c r="H48" s="16"/>
    </row>
    <row r="49" spans="1:8" x14ac:dyDescent="0.15">
      <c r="A49" s="13"/>
      <c r="B49" s="14"/>
      <c r="C49" s="14"/>
      <c r="D49" s="15"/>
      <c r="E49" s="14"/>
      <c r="F49" s="16"/>
      <c r="G49" s="17"/>
      <c r="H49" s="16"/>
    </row>
    <row r="50" spans="1:8" x14ac:dyDescent="0.15">
      <c r="A50" s="13"/>
      <c r="B50" s="14"/>
      <c r="C50" s="14"/>
      <c r="D50" s="15"/>
      <c r="E50" s="14"/>
      <c r="F50" s="16"/>
      <c r="G50" s="17"/>
      <c r="H50" s="16"/>
    </row>
    <row r="51" spans="1:8" x14ac:dyDescent="0.15">
      <c r="A51" s="13"/>
      <c r="B51" s="14"/>
      <c r="C51" s="14"/>
      <c r="D51" s="15"/>
      <c r="E51" s="14"/>
      <c r="F51" s="16"/>
      <c r="G51" s="17"/>
      <c r="H51" s="16"/>
    </row>
    <row r="52" spans="1:8" x14ac:dyDescent="0.15">
      <c r="A52" s="13"/>
      <c r="B52" s="14"/>
      <c r="C52" s="14"/>
      <c r="D52" s="15"/>
      <c r="E52" s="14"/>
      <c r="F52" s="16"/>
      <c r="G52" s="17"/>
      <c r="H52" s="16"/>
    </row>
    <row r="53" spans="1:8" x14ac:dyDescent="0.15">
      <c r="A53" s="13"/>
      <c r="B53" s="14"/>
      <c r="C53" s="14"/>
      <c r="D53" s="15"/>
      <c r="E53" s="14"/>
      <c r="F53" s="16"/>
      <c r="G53" s="17"/>
      <c r="H53" s="16"/>
    </row>
    <row r="54" spans="1:8" x14ac:dyDescent="0.15">
      <c r="A54" s="13"/>
      <c r="B54" s="14"/>
      <c r="C54" s="14"/>
      <c r="D54" s="15"/>
      <c r="E54" s="14"/>
      <c r="F54" s="16"/>
      <c r="G54" s="17"/>
      <c r="H54" s="16"/>
    </row>
    <row r="55" spans="1:8" x14ac:dyDescent="0.15">
      <c r="A55" s="13"/>
      <c r="B55" s="14"/>
      <c r="C55" s="14"/>
      <c r="D55" s="15"/>
      <c r="E55" s="14"/>
      <c r="F55" s="16"/>
      <c r="G55" s="17"/>
      <c r="H55" s="16"/>
    </row>
    <row r="56" spans="1:8" x14ac:dyDescent="0.15">
      <c r="A56" s="13"/>
      <c r="B56" s="14"/>
      <c r="C56" s="14"/>
      <c r="D56" s="15"/>
      <c r="E56" s="14"/>
      <c r="F56" s="16"/>
      <c r="G56" s="17"/>
      <c r="H56" s="16"/>
    </row>
    <row r="57" spans="1:8" x14ac:dyDescent="0.15">
      <c r="A57" s="13"/>
      <c r="B57" s="14"/>
      <c r="C57" s="14"/>
      <c r="D57" s="15"/>
      <c r="E57" s="14"/>
      <c r="F57" s="16"/>
      <c r="G57" s="17"/>
      <c r="H57" s="16"/>
    </row>
    <row r="58" spans="1:8" x14ac:dyDescent="0.15">
      <c r="A58" s="13"/>
      <c r="B58" s="14"/>
      <c r="C58" s="14"/>
      <c r="D58" s="15"/>
      <c r="E58" s="14"/>
      <c r="F58" s="16"/>
      <c r="G58" s="17"/>
      <c r="H58" s="16"/>
    </row>
    <row r="59" spans="1:8" x14ac:dyDescent="0.15">
      <c r="A59" s="13"/>
      <c r="B59" s="14"/>
      <c r="C59" s="14"/>
      <c r="D59" s="15"/>
      <c r="E59" s="14"/>
      <c r="F59" s="16"/>
      <c r="G59" s="17"/>
      <c r="H59" s="16"/>
    </row>
    <row r="60" spans="1:8" x14ac:dyDescent="0.15">
      <c r="A60" s="13"/>
      <c r="B60" s="14"/>
      <c r="C60" s="14"/>
      <c r="D60" s="15"/>
      <c r="E60" s="14"/>
      <c r="F60" s="16"/>
      <c r="G60" s="17"/>
      <c r="H60" s="16"/>
    </row>
    <row r="61" spans="1:8" x14ac:dyDescent="0.15">
      <c r="A61" s="13"/>
      <c r="B61" s="14"/>
      <c r="C61" s="14"/>
      <c r="D61" s="15"/>
      <c r="E61" s="14"/>
      <c r="F61" s="16"/>
      <c r="G61" s="17"/>
      <c r="H61" s="16"/>
    </row>
    <row r="62" spans="1:8" x14ac:dyDescent="0.15">
      <c r="A62" s="13"/>
      <c r="B62" s="14"/>
      <c r="C62" s="14"/>
      <c r="D62" s="15"/>
      <c r="E62" s="14"/>
      <c r="F62" s="16"/>
      <c r="G62" s="17"/>
      <c r="H62" s="16"/>
    </row>
    <row r="63" spans="1:8" x14ac:dyDescent="0.15">
      <c r="A63" s="13"/>
      <c r="B63" s="14"/>
      <c r="C63" s="14"/>
      <c r="D63" s="15"/>
      <c r="E63" s="14"/>
      <c r="F63" s="16"/>
      <c r="G63" s="17"/>
      <c r="H63" s="16"/>
    </row>
    <row r="64" spans="1:8" x14ac:dyDescent="0.15">
      <c r="A64" s="13"/>
      <c r="B64" s="14"/>
      <c r="C64" s="14"/>
      <c r="D64" s="15"/>
      <c r="E64" s="14"/>
      <c r="F64" s="16"/>
      <c r="G64" s="17"/>
      <c r="H64" s="16"/>
    </row>
    <row r="65" spans="1:8" x14ac:dyDescent="0.15">
      <c r="A65" s="13"/>
      <c r="B65" s="14"/>
      <c r="C65" s="14"/>
      <c r="D65" s="15"/>
      <c r="E65" s="14"/>
      <c r="F65" s="16"/>
      <c r="G65" s="17"/>
      <c r="H65" s="16"/>
    </row>
    <row r="66" spans="1:8" x14ac:dyDescent="0.15">
      <c r="A66" s="13"/>
      <c r="B66" s="14"/>
      <c r="C66" s="14"/>
      <c r="D66" s="15"/>
      <c r="E66" s="14"/>
      <c r="F66" s="16"/>
      <c r="G66" s="17"/>
      <c r="H66" s="16"/>
    </row>
    <row r="1048574" ht="12.75" customHeight="1" x14ac:dyDescent="0.15"/>
    <row r="1048575" ht="12.75" customHeight="1" x14ac:dyDescent="0.15"/>
    <row r="1048576" ht="12.75" customHeight="1" x14ac:dyDescent="0.15"/>
  </sheetData>
  <autoFilter ref="A3:H143" xr:uid="{00000000-0009-0000-0000-00000D000000}"/>
  <mergeCells count="2">
    <mergeCell ref="A1:G1"/>
    <mergeCell ref="A24:H24"/>
  </mergeCells>
  <conditionalFormatting sqref="A4:G63">
    <cfRule type="cellIs" dxfId="3" priority="2" operator="equal">
      <formula>"A"</formula>
    </cfRule>
    <cfRule type="expression" dxfId="2" priority="3">
      <formula>$F4="A"</formula>
    </cfRule>
    <cfRule type="expression" dxfId="1" priority="4">
      <formula>$F4="B"</formula>
    </cfRule>
    <cfRule type="expression" dxfId="0" priority="5">
      <formula>$F4="C"</formula>
    </cfRule>
  </conditionalFormatting>
  <dataValidations count="3">
    <dataValidation type="list" allowBlank="1" sqref="F4:F143" xr:uid="{00000000-0002-0000-0D00-000000000000}">
      <formula1>"A,B,C,—"</formula1>
      <formula2>0</formula2>
    </dataValidation>
    <dataValidation type="list" allowBlank="1" sqref="E4:E143" xr:uid="{00000000-0002-0000-0D00-000001000000}">
      <formula1>"SDD,Accredito,Bancomat,CC moglie,Contanti,Buoni pasto,Gift card,Altro"</formula1>
      <formula2>0</formula2>
    </dataValidation>
    <dataValidation type="list" allowBlank="1" sqref="H4:H143" xr:uid="{00000000-0002-0000-0D00-000002000000}">
      <formula1>"Sì,No"</formula1>
      <formula2>0</formula2>
    </dataValidation>
  </dataValidations>
  <printOptions gridLines="1"/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443</TotalTime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14</vt:i4>
      </vt:variant>
    </vt:vector>
  </HeadingPairs>
  <TitlesOfParts>
    <vt:vector size="14" baseType="lpstr">
      <vt:lpstr>README</vt:lpstr>
      <vt:lpstr>Sommario</vt:lpstr>
      <vt:lpstr>01-Jan</vt:lpstr>
      <vt:lpstr>02-Feb</vt:lpstr>
      <vt:lpstr>03-Mar</vt:lpstr>
      <vt:lpstr>04-Apr</vt:lpstr>
      <vt:lpstr>05-May</vt:lpstr>
      <vt:lpstr>06-Jun</vt:lpstr>
      <vt:lpstr>07-Jul</vt:lpstr>
      <vt:lpstr>08-Aug</vt:lpstr>
      <vt:lpstr>09-Sep</vt:lpstr>
      <vt:lpstr>10-Oct</vt:lpstr>
      <vt:lpstr>11-Nov</vt:lpstr>
      <vt:lpstr>12-Dec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Adalberto Caccia</cp:lastModifiedBy>
  <cp:revision>11</cp:revision>
  <dcterms:created xsi:type="dcterms:W3CDTF">2025-12-19T20:33:44Z</dcterms:created>
  <dcterms:modified xsi:type="dcterms:W3CDTF">2026-01-07T15:46:45Z</dcterms:modified>
  <dc:language>it-IT</dc:language>
</cp:coreProperties>
</file>
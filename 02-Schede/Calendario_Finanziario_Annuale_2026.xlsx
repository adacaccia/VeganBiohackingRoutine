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mmario" sheetId="1" state="visible" r:id="rId3"/>
    <sheet name="Legenda" sheetId="2" state="visible" r:id="rId4"/>
    <sheet name="README" sheetId="3" state="visible" r:id="rId5"/>
    <sheet name="01-Jan" sheetId="4" state="visible" r:id="rId6"/>
    <sheet name="02-Feb" sheetId="5" state="visible" r:id="rId7"/>
    <sheet name="03-Mar" sheetId="6" state="visible" r:id="rId8"/>
    <sheet name="04-Apr" sheetId="7" state="visible" r:id="rId9"/>
    <sheet name="05-May" sheetId="8" state="visible" r:id="rId10"/>
    <sheet name="06-Jun" sheetId="9" state="visible" r:id="rId11"/>
    <sheet name="07-Jul" sheetId="10" state="visible" r:id="rId12"/>
    <sheet name="08-Aug" sheetId="11" state="visible" r:id="rId13"/>
    <sheet name="09-Sep" sheetId="12" state="visible" r:id="rId14"/>
    <sheet name="10-Oct" sheetId="13" state="visible" r:id="rId15"/>
    <sheet name="11-Nov" sheetId="14" state="visible" r:id="rId16"/>
    <sheet name="12-Dec" sheetId="15" state="visible" r:id="rId17"/>
  </sheets>
  <definedNames>
    <definedName function="false" hidden="true" localSheetId="3" name="_xlnm._FilterDatabase" vbProcedure="false">'01-Jan'!$A$3:$H$64</definedName>
    <definedName function="false" hidden="true" localSheetId="4" name="_xlnm._FilterDatabase" vbProcedure="false">'02-Feb'!$A$3:$H$64</definedName>
    <definedName function="false" hidden="true" localSheetId="5" name="_xlnm._FilterDatabase" vbProcedure="false">'03-Mar'!$A$3:$H$64</definedName>
    <definedName function="false" hidden="true" localSheetId="6" name="_xlnm._FilterDatabase" vbProcedure="false">'04-Apr'!$A$3:$H$64</definedName>
    <definedName function="false" hidden="true" localSheetId="7" name="_xlnm._FilterDatabase" vbProcedure="false">'05-May'!$A$3:$H$64</definedName>
    <definedName function="false" hidden="true" localSheetId="8" name="_xlnm._FilterDatabase" vbProcedure="false">'06-Jun'!$A$3:$H$64</definedName>
    <definedName function="false" hidden="true" localSheetId="9" name="_xlnm._FilterDatabase" vbProcedure="false">'07-Jul'!$A$3:$H$64</definedName>
    <definedName function="false" hidden="true" localSheetId="10" name="_xlnm._FilterDatabase" vbProcedure="false">'08-Aug'!$A$3:$H$64</definedName>
    <definedName function="false" hidden="true" localSheetId="11" name="_xlnm._FilterDatabase" vbProcedure="false">'09-Sep'!$A$3:$H$64</definedName>
    <definedName function="false" hidden="true" localSheetId="12" name="_xlnm._FilterDatabase" vbProcedure="false">'10-Oct'!$A$3:$H$64</definedName>
    <definedName function="false" hidden="true" localSheetId="13" name="_xlnm._FilterDatabase" vbProcedure="false">'11-Nov'!$A$3:$H$64</definedName>
    <definedName function="false" hidden="true" localSheetId="14" name="_xlnm._FilterDatabase" vbProcedure="false">'12-Dec'!$A$3:$H$64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<sst xmlns="http://schemas.openxmlformats.org/spreadsheetml/2006/main" count="860" uniqueCount="114">
  <si>
    <t xml:space="preserve">Mese</t>
  </si>
  <si>
    <t xml:space="preserve">Residuo (€)</t>
  </si>
  <si>
    <t xml:space="preserve">Cumulato (€)</t>
  </si>
  <si>
    <t xml:space="preserve">Gennaio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</si>
  <si>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</si>
  <si>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</si>
  <si>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</si>
  <si>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</si>
  <si>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</si>
  <si>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</si>
  <si>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</si>
  <si>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</si>
  <si>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</si>
  <si>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</si>
  <si>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</si>
  <si>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Accantonamento netto annuale</t>
  </si>
  <si>
    <t xml:space="preserve">Priorità</t>
  </si>
  <si>
    <t xml:space="preserve">Significato</t>
  </si>
  <si>
    <t xml:space="preserve">A</t>
  </si>
  <si>
    <t xml:space="preserve">Intoccabile (Fisco, rate critiche)</t>
  </si>
  <si>
    <t xml:space="preserve">B</t>
  </si>
  <si>
    <t xml:space="preserve">Essenziale (utenze, casa)</t>
  </si>
  <si>
    <t xml:space="preserve">C</t>
  </si>
  <si>
    <t xml:space="preserve">Gestibile/Opzionale</t>
  </si>
  <si>
    <t xml:space="preserve">Pagamento</t>
  </si>
  <si>
    <t xml:space="preserve">Valori suggeriti (menu a tendina nei mesi)</t>
  </si>
  <si>
    <t xml:space="preserve">SDD / Accredito / Bancomat / CC moglie / Contanti / Buoni pasto / Gift card / Altro</t>
  </si>
  <si>
    <t xml:space="preserve">Nota</t>
  </si>
  <si>
    <t xml:space="preserve">Importi: spese positive, entrate negative. 'Residuo (fisso)' in G2 di ogni mese.</t>
  </si>
  <si>
    <t xml:space="preserve">Pagato</t>
  </si>
  <si>
    <t xml:space="preserve">Colonna H: menu a tendina Sì/No (facoltativo).</t>
  </si>
  <si>
    <t xml:space="preserve">Protezione soft</t>
  </si>
  <si>
    <t xml:space="preserve">F2/G2 e intestazioni bloccate; righe dati modificabili. Filtri e ordinamento abilitati.</t>
  </si>
  <si>
    <t xml:space="preserve">Modifiche</t>
  </si>
  <si>
    <t xml:space="preserve">Rimossi i duplicati 'Condominio' senza data. Abilitata eliminazione/inserimento righe anche con protezione attiva.</t>
  </si>
  <si>
    <t xml:space="preserve">Residuo/Cumulato (fissi)</t>
  </si>
  <si>
    <t xml:space="preserve">In ogni mese: Residuo in K2, Cumulato in K3 (colonne J/K, fuori tabella) per evitare sovrascritture.</t>
  </si>
  <si>
    <t xml:space="preserve">Calendario finanziario mensile (2026)</t>
  </si>
  <si>
    <t xml:space="preserve">Come usare:</t>
  </si>
  <si>
    <t xml:space="preserve">Ogni mese ha un foglio dedicato con gli addebiti ricorrenti (1°, 15°, 27) e le eccezioni note.
Colonna 'Metodo' indica SDD/Bonifico/Buoni/etc. Modifica se necessario.
Nei mesi di Rottamazione Quater (Feb/Mag/Ago/Nov) trovi una riga a fine mese e una nota sulla 'zona rossa' 25→3.
Importi Sorgenia sono stime: aggiorna quando hai i valori effettivi.
Prime è annuale (2 gennaio).</t>
  </si>
  <si>
    <t xml:space="preserve">Buffer (promemoria):</t>
  </si>
  <si>
    <t xml:space="preserve">• Entro il 1°: 800 € (1.050 € nei mesi Rottamazione)</t>
  </si>
  <si>
    <t xml:space="preserve">• Entro il 15: 1.000 €</t>
  </si>
  <si>
    <t xml:space="preserve">• Zona Rottamazione (25→3): lasciare almeno 250 €</t>
  </si>
  <si>
    <t xml:space="preserve">Regola spesa:</t>
  </si>
  <si>
    <t xml:space="preserve">• 1 sola spesa settimanale al mese pagata con buoni pasto (accredito con stipendio il 27).</t>
  </si>
  <si>
    <t xml:space="preserve">Note mensilità extra:</t>
  </si>
  <si>
    <t xml:space="preserve">• 14esima: 27 giugno (insieme allo stipendio).</t>
  </si>
  <si>
    <t xml:space="preserve">• 13esima: spesso 24–27 dicembre; qui riportata il 27 per generalità.</t>
  </si>
  <si>
    <t xml:space="preserve">Eventi Amazon:</t>
  </si>
  <si>
    <t xml:space="preserve">• Amazon Prime: 2 gennaio (49,99 €/anno).</t>
  </si>
  <si>
    <t xml:space="preserve">JANUARY 2026</t>
  </si>
  <si>
    <t xml:space="preserve">Residuo (fisso)</t>
  </si>
  <si>
    <t xml:space="preserve">Data</t>
  </si>
  <si>
    <t xml:space="preserve">Categoria</t>
  </si>
  <si>
    <t xml:space="preserve">Voce</t>
  </si>
  <si>
    <t xml:space="preserve">Importo (€)</t>
  </si>
  <si>
    <t xml:space="preserve">Metodo</t>
  </si>
  <si>
    <t xml:space="preserve">Note operative</t>
  </si>
  <si>
    <t xml:space="preserve">Cumulato (fisso)</t>
  </si>
  <si>
    <t xml:space="preserve">Prestito</t>
  </si>
  <si>
    <t xml:space="preserve">Santander prestito auto rubata</t>
  </si>
  <si>
    <t xml:space="preserve">SDD</t>
  </si>
  <si>
    <t xml:space="preserve">Picco del 1° (mantenere buffer).</t>
  </si>
  <si>
    <t xml:space="preserve">Servizio</t>
  </si>
  <si>
    <t xml:space="preserve">Subbyx (Garmin + telefoni)</t>
  </si>
  <si>
    <t xml:space="preserve">Spostata al 1°.</t>
  </si>
  <si>
    <t xml:space="preserve">Casa</t>
  </si>
  <si>
    <t xml:space="preserve">Condominio (bimestrale)</t>
  </si>
  <si>
    <t xml:space="preserve">Mesi dispari.</t>
  </si>
  <si>
    <t xml:space="preserve">Amazon</t>
  </si>
  <si>
    <t xml:space="preserve">Amazon Prime (annuale)</t>
  </si>
  <si>
    <t xml:space="preserve">Bancomat</t>
  </si>
  <si>
    <t xml:space="preserve">Rinnovo Prime.</t>
  </si>
  <si>
    <t xml:space="preserve">Fineco prestito personale</t>
  </si>
  <si>
    <t xml:space="preserve">Picco del 15 (mantenere buffer).</t>
  </si>
  <si>
    <t xml:space="preserve">Compass prestito auto nuova</t>
  </si>
  <si>
    <t xml:space="preserve">Picco del 15.</t>
  </si>
  <si>
    <t xml:space="preserve">Utenza</t>
  </si>
  <si>
    <t xml:space="preserve">WindTre fibra casa</t>
  </si>
  <si>
    <t xml:space="preserve">Essenziale.</t>
  </si>
  <si>
    <t xml:space="preserve">WindTre figli</t>
  </si>
  <si>
    <t xml:space="preserve">Sorgenia elettricità (stima)</t>
  </si>
  <si>
    <t xml:space="preserve">Aggiorna quando arriva la bolletta.</t>
  </si>
  <si>
    <t xml:space="preserve">Sorgenia gas (stima)</t>
  </si>
  <si>
    <t xml:space="preserve">Entrata</t>
  </si>
  <si>
    <t xml:space="preserve">Stipendio (netto)</t>
  </si>
  <si>
    <t xml:space="preserve">Accredito</t>
  </si>
  <si>
    <t xml:space="preserve">—</t>
  </si>
  <si>
    <t xml:space="preserve">Accredito stipendio.</t>
  </si>
  <si>
    <t xml:space="preserve">Regole operative del mese (promemoria)</t>
  </si>
  <si>
    <t xml:space="preserve">• Spesa alimentare: pagare SOLO 1 spesa settimanale al mese con buoni pasto (zero impatto sul C/C).</t>
  </si>
  <si>
    <t xml:space="preserve">• Amazon: preferire credito/buoni regalo; evitare addebiti diretti da C/C salvo necessità di tua moglie.</t>
  </si>
  <si>
    <t xml:space="preserve">• Niente prelievi nei 3–4 giorni prima del 1° e del 15. Nei mesi Rottamazione: niente prelievi 25→3.</t>
  </si>
  <si>
    <t xml:space="preserve">• Santander/Compass: evitare qualunque giorno di ritardo (mora giornaliera elevata).</t>
  </si>
  <si>
    <t xml:space="preserve">FEBRUARY 2026</t>
  </si>
  <si>
    <t xml:space="preserve">Fisco</t>
  </si>
  <si>
    <t xml:space="preserve">AER – Rottamazione Quater (trimestrale)</t>
  </si>
  <si>
    <t xml:space="preserve">Zona rossa 25→3. Mai saltare.</t>
  </si>
  <si>
    <t xml:space="preserve">MARCH 2026</t>
  </si>
  <si>
    <t xml:space="preserve">APRIL 2026</t>
  </si>
  <si>
    <t xml:space="preserve">MAY 2026</t>
  </si>
  <si>
    <t xml:space="preserve">JUNE 2026</t>
  </si>
  <si>
    <t xml:space="preserve">Accredito stipendio</t>
  </si>
  <si>
    <t xml:space="preserve">14esima</t>
  </si>
  <si>
    <t xml:space="preserve">Accredito 14esima insieme allo stipendio.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</si>
  <si>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</si>
  <si>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</si>
  <si>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</si>
  <si>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</si>
  <si>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</si>
  <si>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</si>
  <si>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13esima</t>
  </si>
  <si>
    <t xml:space="preserve">Accredito 13esima (spesso 24–27).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</si>
</sst>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€-410]\ #,##0.00;[RED]\-[$€-410]\ #,##0.00"/>
    <numFmt numFmtId="166" formatCode="0.00"/>
    <numFmt numFmtId="167" formatCode="dd/mm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404040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4" fillId="0" borderId="1" xfId="20" applyFont="fals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1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3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4" fillId="0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404040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1E7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2" activeCellId="0" sqref="E12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20.43"/>
    <col collapsed="false" customWidth="true" hidden="false" outlineLevel="0" max="3" min="2" style="1" width="18.16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0" t="s">
        <v>3</v>
      </c>
      <c r="B2" s="4" t="n">
        <f aca="false">'01-Jan'!$K$2</f>
        <v>-448.01</v>
      </c>
      <c r="C2" s="4" t="n">
        <f aca="false">'01-Jan'!$K$3</f>
        <v>-448.01</v>
      </c>
    </row>
    <row r="3" customFormat="false" ht="15" hidden="false" customHeight="false" outlineLevel="0" collapsed="false">
      <c r="A3" s="0" t="s">
        <v>4</v>
      </c>
      <c r="B3" s="4" t="n">
        <f aca="false">'02-Feb'!$K$2</f>
        <v>-415.81</v>
      </c>
      <c r="C3" s="4" t="n">
        <f aca="false">'02-Feb'!$K$3</f>
        <v>-863.82</v>
      </c>
    </row>
    <row r="4" customFormat="false" ht="15" hidden="false" customHeight="false" outlineLevel="0" collapsed="false">
      <c r="A4" s="0" t="s">
        <v>5</v>
      </c>
      <c r="B4" s="4" t="n">
        <f aca="false">'03-Mar'!$K$2</f>
        <v>-498</v>
      </c>
      <c r="C4" s="4" t="n">
        <f aca="false">'03-Mar'!$K$3</f>
        <v>-1361.82</v>
      </c>
    </row>
    <row r="5" customFormat="false" ht="15" hidden="false" customHeight="false" outlineLevel="0" collapsed="false">
      <c r="A5" s="0" t="s">
        <v>6</v>
      </c>
      <c r="B5" s="4" t="n">
        <f aca="false">'04-Apr'!$K$2</f>
        <v>-652</v>
      </c>
      <c r="C5" s="4" t="n">
        <f aca="false">'04-Apr'!$K$3</f>
        <v>-2013.82</v>
      </c>
    </row>
    <row r="6" customFormat="false" ht="15" hidden="false" customHeight="false" outlineLevel="0" collapsed="false">
      <c r="A6" s="0" t="s">
        <v>7</v>
      </c>
      <c r="B6" s="4" t="n">
        <f aca="false">'05-May'!$K$2</f>
        <v>-261.81</v>
      </c>
      <c r="C6" s="4" t="n">
        <f aca="false">'05-May'!$K$3</f>
        <v>-2275.63</v>
      </c>
    </row>
    <row r="7" customFormat="false" ht="15" hidden="false" customHeight="false" outlineLevel="0" collapsed="false">
      <c r="A7" s="0" t="s">
        <v>8</v>
      </c>
      <c r="B7" s="4" t="n">
        <f aca="false">'06-Jun'!$K$2</f>
        <v>-3032</v>
      </c>
      <c r="C7" s="4" t="n">
        <f aca="false">'06-Jun'!$K$3</f>
        <v>-5307.63</v>
      </c>
    </row>
    <row r="8" customFormat="false" ht="15" hidden="false" customHeight="false" outlineLevel="0" collapsed="false">
      <c r="A8" s="0" t="s">
        <v>9</v>
      </c>
      <c r="B8" s="4" t="n">
        <f aca="false">'07-Jul'!$K$2</f>
        <v>-498</v>
      </c>
      <c r="C8" s="4" t="n">
        <f aca="false">'07-Jul'!$K$3</f>
        <v>-5805.63</v>
      </c>
    </row>
    <row r="9" customFormat="false" ht="15" hidden="false" customHeight="false" outlineLevel="0" collapsed="false">
      <c r="A9" s="0" t="s">
        <v>10</v>
      </c>
      <c r="B9" s="4" t="n">
        <f aca="false">'08-Aug'!$K$2</f>
        <v>-415.81</v>
      </c>
      <c r="C9" s="4" t="n">
        <f aca="false">'08-Aug'!$K$3</f>
        <v>-6221.44</v>
      </c>
    </row>
    <row r="10" customFormat="false" ht="15" hidden="false" customHeight="false" outlineLevel="0" collapsed="false">
      <c r="A10" s="0" t="s">
        <v>11</v>
      </c>
      <c r="B10" s="4" t="n">
        <f aca="false">'09-Sep'!$K$2</f>
        <v>-498</v>
      </c>
      <c r="C10" s="4" t="n">
        <f aca="false">'09-Sep'!$K$3</f>
        <v>-6719.44</v>
      </c>
    </row>
    <row r="11" customFormat="false" ht="15" hidden="false" customHeight="false" outlineLevel="0" collapsed="false">
      <c r="A11" s="0" t="s">
        <v>12</v>
      </c>
      <c r="B11" s="4" t="n">
        <f aca="false">'10-Oct'!$K$2</f>
        <v>-652</v>
      </c>
      <c r="C11" s="4" t="n">
        <f aca="false">'10-Oct'!$K$3</f>
        <v>-7371.44</v>
      </c>
    </row>
    <row r="12" customFormat="false" ht="15" hidden="false" customHeight="false" outlineLevel="0" collapsed="false">
      <c r="A12" s="0" t="s">
        <v>13</v>
      </c>
      <c r="B12" s="4" t="n">
        <f aca="false">'11-Nov'!$K$2</f>
        <v>-261.81</v>
      </c>
      <c r="C12" s="4" t="n">
        <f aca="false">'11-Nov'!$K$3</f>
        <v>-7633.25</v>
      </c>
    </row>
    <row r="13" customFormat="false" ht="15" hidden="false" customHeight="false" outlineLevel="0" collapsed="false">
      <c r="A13" s="0" t="s">
        <v>14</v>
      </c>
      <c r="B13" s="4" t="n">
        <f aca="false">'12-Dec'!$K$2</f>
        <v>-3032</v>
      </c>
      <c r="C13" s="4" t="n">
        <f aca="false">'12-Dec'!$K$3</f>
        <v>-10665.25</v>
      </c>
    </row>
    <row r="14" customFormat="false" ht="15" hidden="false" customHeight="false" outlineLevel="0" collapsed="false">
      <c r="A14" s="5" t="s">
        <v>15</v>
      </c>
      <c r="B14" s="6" t="n">
        <f aca="false">SUM(B2:B13)</f>
        <v>-10665.25</v>
      </c>
      <c r="C14" s="6" t="n">
        <f aca="false">C13</f>
        <v>-10665.25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79.46"/>
  </cols>
  <sheetData>
    <row r="1" customFormat="false" ht="15" hidden="false" customHeight="false" outlineLevel="0" collapsed="false">
      <c r="A1" s="7" t="s">
        <v>16</v>
      </c>
      <c r="B1" s="7" t="s">
        <v>17</v>
      </c>
    </row>
    <row r="2" customFormat="false" ht="15" hidden="false" customHeight="false" outlineLevel="0" collapsed="false">
      <c r="A2" s="8" t="s">
        <v>18</v>
      </c>
      <c r="B2" s="8" t="s">
        <v>19</v>
      </c>
    </row>
    <row r="3" customFormat="false" ht="15" hidden="false" customHeight="false" outlineLevel="0" collapsed="false">
      <c r="A3" s="8" t="s">
        <v>20</v>
      </c>
      <c r="B3" s="8" t="s">
        <v>21</v>
      </c>
    </row>
    <row r="4" customFormat="false" ht="15" hidden="false" customHeight="false" outlineLevel="0" collapsed="false">
      <c r="A4" s="8" t="s">
        <v>22</v>
      </c>
      <c r="B4" s="8" t="s">
        <v>23</v>
      </c>
    </row>
    <row r="5" customFormat="false" ht="15" hidden="false" customHeight="false" outlineLevel="0" collapsed="false">
      <c r="A5" s="8"/>
      <c r="B5" s="8"/>
    </row>
    <row r="6" customFormat="false" ht="15" hidden="false" customHeight="false" outlineLevel="0" collapsed="false">
      <c r="A6" s="7" t="s">
        <v>24</v>
      </c>
      <c r="B6" s="7" t="s">
        <v>25</v>
      </c>
    </row>
    <row r="7" customFormat="false" ht="15" hidden="false" customHeight="false" outlineLevel="0" collapsed="false">
      <c r="A7" s="8" t="s">
        <v>26</v>
      </c>
      <c r="B7" s="8"/>
    </row>
    <row r="8" customFormat="false" ht="15" hidden="false" customHeight="false" outlineLevel="0" collapsed="false">
      <c r="A8" s="8"/>
      <c r="B8" s="8"/>
    </row>
    <row r="9" customFormat="false" ht="15" hidden="false" customHeight="false" outlineLevel="0" collapsed="false">
      <c r="A9" s="7" t="s">
        <v>27</v>
      </c>
      <c r="B9" s="7" t="s">
        <v>28</v>
      </c>
    </row>
    <row r="10" customFormat="false" ht="15" hidden="false" customHeight="false" outlineLevel="0" collapsed="false">
      <c r="A10" s="8"/>
      <c r="B10" s="8"/>
    </row>
    <row r="12" customFormat="false" ht="15" hidden="false" customHeight="false" outlineLevel="0" collapsed="false">
      <c r="A12" s="7" t="s">
        <v>29</v>
      </c>
      <c r="B12" s="8" t="s">
        <v>30</v>
      </c>
    </row>
    <row r="14" customFormat="false" ht="15" hidden="false" customHeight="false" outlineLevel="0" collapsed="false">
      <c r="A14" s="7" t="s">
        <v>31</v>
      </c>
      <c r="B14" s="8" t="s">
        <v>32</v>
      </c>
    </row>
    <row r="16" customFormat="false" ht="15" hidden="false" customHeight="false" outlineLevel="0" collapsed="false">
      <c r="A16" s="5" t="s">
        <v>33</v>
      </c>
      <c r="B16" s="0" t="s">
        <v>34</v>
      </c>
    </row>
    <row r="18" customFormat="false" ht="15" hidden="false" customHeight="false" outlineLevel="0" collapsed="false">
      <c r="A18" s="5" t="s">
        <v>35</v>
      </c>
      <c r="B18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90.81"/>
  </cols>
  <sheetData>
    <row r="1" customFormat="false" ht="17.35" hidden="false" customHeight="false" outlineLevel="0" collapsed="false">
      <c r="B1" s="9" t="s">
        <v>37</v>
      </c>
    </row>
    <row r="3" customFormat="false" ht="15" hidden="false" customHeight="false" outlineLevel="0" collapsed="false">
      <c r="B3" s="5" t="s">
        <v>38</v>
      </c>
    </row>
    <row r="4" customFormat="false" ht="91" hidden="false" customHeight="false" outlineLevel="0" collapsed="false">
      <c r="B4" s="10" t="s">
        <v>39</v>
      </c>
    </row>
    <row r="6" customFormat="false" ht="15" hidden="false" customHeight="false" outlineLevel="0" collapsed="false">
      <c r="B6" s="5" t="s">
        <v>40</v>
      </c>
    </row>
    <row r="7" customFormat="false" ht="15" hidden="false" customHeight="false" outlineLevel="0" collapsed="false">
      <c r="B7" s="0" t="s">
        <v>41</v>
      </c>
    </row>
    <row r="8" customFormat="false" ht="15" hidden="false" customHeight="false" outlineLevel="0" collapsed="false">
      <c r="B8" s="0" t="s">
        <v>42</v>
      </c>
    </row>
    <row r="9" customFormat="false" ht="15" hidden="false" customHeight="false" outlineLevel="0" collapsed="false">
      <c r="B9" s="0" t="s">
        <v>43</v>
      </c>
    </row>
    <row r="11" customFormat="false" ht="15" hidden="false" customHeight="false" outlineLevel="0" collapsed="false">
      <c r="B11" s="5" t="s">
        <v>44</v>
      </c>
    </row>
    <row r="12" customFormat="false" ht="15" hidden="false" customHeight="false" outlineLevel="0" collapsed="false">
      <c r="B12" s="0" t="s">
        <v>45</v>
      </c>
    </row>
    <row r="14" customFormat="false" ht="15" hidden="false" customHeight="false" outlineLevel="0" collapsed="false">
      <c r="B14" s="5" t="s">
        <v>46</v>
      </c>
    </row>
    <row r="15" customFormat="false" ht="15" hidden="false" customHeight="false" outlineLevel="0" collapsed="false">
      <c r="B15" s="0" t="s">
        <v>47</v>
      </c>
    </row>
    <row r="16" customFormat="false" ht="15" hidden="false" customHeight="false" outlineLevel="0" collapsed="false">
      <c r="B16" s="0" t="s">
        <v>48</v>
      </c>
    </row>
    <row r="18" customFormat="false" ht="15" hidden="false" customHeight="false" outlineLevel="0" collapsed="false">
      <c r="B18" s="5" t="s">
        <v>49</v>
      </c>
    </row>
    <row r="19" customFormat="false" ht="15" hidden="false" customHeight="false" outlineLevel="0" collapsed="false">
      <c r="B19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8" activeCellId="0" sqref="E8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51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-448.01</v>
      </c>
      <c r="J2" s="12" t="s">
        <v>52</v>
      </c>
      <c r="K2" s="13" t="n">
        <f aca="false">SUMIF($A:$A,"&lt;&gt;",$D:$D)</f>
        <v>-448.01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$K$2</f>
        <v>-448.01</v>
      </c>
    </row>
    <row r="4" customFormat="false" ht="18" hidden="false" customHeight="true" outlineLevel="0" collapsed="false">
      <c r="A4" s="15" t="n">
        <v>46023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46023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46023</v>
      </c>
      <c r="B6" s="16" t="s">
        <v>67</v>
      </c>
      <c r="C6" s="16" t="s">
        <v>68</v>
      </c>
      <c r="D6" s="17" t="n">
        <v>154</v>
      </c>
      <c r="E6" s="16" t="s">
        <v>62</v>
      </c>
      <c r="F6" s="18" t="s">
        <v>20</v>
      </c>
      <c r="G6" s="19" t="s">
        <v>69</v>
      </c>
      <c r="H6" s="20"/>
    </row>
    <row r="7" customFormat="false" ht="18" hidden="false" customHeight="true" outlineLevel="0" collapsed="false">
      <c r="A7" s="15" t="n">
        <v>46024</v>
      </c>
      <c r="B7" s="16" t="s">
        <v>70</v>
      </c>
      <c r="C7" s="16" t="s">
        <v>71</v>
      </c>
      <c r="D7" s="17" t="n">
        <v>49.99</v>
      </c>
      <c r="E7" s="16" t="s">
        <v>72</v>
      </c>
      <c r="F7" s="18" t="s">
        <v>22</v>
      </c>
      <c r="G7" s="19" t="s">
        <v>73</v>
      </c>
      <c r="H7" s="20"/>
    </row>
    <row r="8" customFormat="false" ht="18" hidden="false" customHeight="true" outlineLevel="0" collapsed="false">
      <c r="A8" s="15" t="n">
        <v>46037</v>
      </c>
      <c r="B8" s="16" t="s">
        <v>60</v>
      </c>
      <c r="C8" s="16" t="s">
        <v>74</v>
      </c>
      <c r="D8" s="17" t="n">
        <v>218</v>
      </c>
      <c r="E8" s="16" t="s">
        <v>62</v>
      </c>
      <c r="F8" s="18" t="s">
        <v>18</v>
      </c>
      <c r="G8" s="19" t="s">
        <v>75</v>
      </c>
      <c r="H8" s="20"/>
    </row>
    <row r="9" customFormat="false" ht="18" hidden="false" customHeight="true" outlineLevel="0" collapsed="false">
      <c r="A9" s="15" t="n">
        <v>46037</v>
      </c>
      <c r="B9" s="16" t="s">
        <v>60</v>
      </c>
      <c r="C9" s="16" t="s">
        <v>76</v>
      </c>
      <c r="D9" s="17" t="n">
        <v>545</v>
      </c>
      <c r="E9" s="16" t="s">
        <v>62</v>
      </c>
      <c r="F9" s="18" t="s">
        <v>18</v>
      </c>
      <c r="G9" s="19" t="s">
        <v>77</v>
      </c>
      <c r="H9" s="20"/>
    </row>
    <row r="10" customFormat="false" ht="18" hidden="false" customHeight="true" outlineLevel="0" collapsed="false">
      <c r="A10" s="15" t="n">
        <v>46037</v>
      </c>
      <c r="B10" s="16" t="s">
        <v>78</v>
      </c>
      <c r="C10" s="16" t="s">
        <v>79</v>
      </c>
      <c r="D10" s="17" t="n">
        <v>31</v>
      </c>
      <c r="E10" s="16" t="s">
        <v>62</v>
      </c>
      <c r="F10" s="18" t="s">
        <v>20</v>
      </c>
      <c r="G10" s="19" t="s">
        <v>80</v>
      </c>
      <c r="H10" s="20"/>
    </row>
    <row r="11" customFormat="false" ht="18" hidden="false" customHeight="true" outlineLevel="0" collapsed="false">
      <c r="A11" s="15" t="n">
        <v>46037</v>
      </c>
      <c r="B11" s="16" t="s">
        <v>78</v>
      </c>
      <c r="C11" s="16" t="s">
        <v>81</v>
      </c>
      <c r="D11" s="17" t="n">
        <v>14</v>
      </c>
      <c r="E11" s="16" t="s">
        <v>62</v>
      </c>
      <c r="F11" s="18" t="s">
        <v>20</v>
      </c>
      <c r="G11" s="19" t="s">
        <v>80</v>
      </c>
      <c r="H11" s="20"/>
    </row>
    <row r="12" customFormat="false" ht="18" hidden="false" customHeight="true" outlineLevel="0" collapsed="false">
      <c r="A12" s="15" t="n">
        <v>46037</v>
      </c>
      <c r="B12" s="16" t="s">
        <v>78</v>
      </c>
      <c r="C12" s="16" t="s">
        <v>82</v>
      </c>
      <c r="D12" s="17" t="n">
        <v>120</v>
      </c>
      <c r="E12" s="16" t="s">
        <v>62</v>
      </c>
      <c r="F12" s="18" t="s">
        <v>20</v>
      </c>
      <c r="G12" s="19" t="s">
        <v>83</v>
      </c>
      <c r="H12" s="20"/>
    </row>
    <row r="13" customFormat="false" ht="18" hidden="false" customHeight="true" outlineLevel="0" collapsed="false">
      <c r="A13" s="15" t="n">
        <v>46037</v>
      </c>
      <c r="B13" s="16" t="s">
        <v>78</v>
      </c>
      <c r="C13" s="16" t="s">
        <v>84</v>
      </c>
      <c r="D13" s="17" t="n">
        <v>20</v>
      </c>
      <c r="E13" s="16" t="s">
        <v>62</v>
      </c>
      <c r="F13" s="18" t="s">
        <v>20</v>
      </c>
      <c r="G13" s="19" t="s">
        <v>83</v>
      </c>
      <c r="H13" s="20"/>
    </row>
    <row r="14" customFormat="false" ht="18" hidden="false" customHeight="true" outlineLevel="0" collapsed="false">
      <c r="A14" s="15" t="n">
        <v>46049</v>
      </c>
      <c r="B14" s="16" t="s">
        <v>85</v>
      </c>
      <c r="C14" s="16" t="s">
        <v>86</v>
      </c>
      <c r="D14" s="17" t="n">
        <v>-2380</v>
      </c>
      <c r="E14" s="16" t="s">
        <v>87</v>
      </c>
      <c r="F14" s="18" t="s">
        <v>88</v>
      </c>
      <c r="G14" s="19" t="s">
        <v>89</v>
      </c>
      <c r="H14" s="20"/>
    </row>
    <row r="15" customFormat="false" ht="18" hidden="false" customHeight="true" outlineLevel="0" collapsed="false">
      <c r="A15" s="15"/>
      <c r="B15" s="21"/>
      <c r="C15" s="21"/>
      <c r="D15" s="21"/>
      <c r="E15" s="21"/>
      <c r="F15" s="21"/>
      <c r="G15" s="22"/>
      <c r="H15" s="20"/>
    </row>
    <row r="16" customFormat="false" ht="19.5" hidden="false" customHeight="true" outlineLevel="0" collapsed="false">
      <c r="A16" s="23" t="s">
        <v>90</v>
      </c>
      <c r="B16" s="23"/>
      <c r="C16" s="23"/>
      <c r="D16" s="23"/>
      <c r="E16" s="23"/>
      <c r="F16" s="23"/>
      <c r="G16" s="23"/>
      <c r="H16" s="20"/>
    </row>
    <row r="17" customFormat="false" ht="18" hidden="false" customHeight="true" outlineLevel="0" collapsed="false">
      <c r="A17" s="24" t="s">
        <v>91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92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93</v>
      </c>
      <c r="B19" s="24"/>
      <c r="C19" s="24"/>
      <c r="D19" s="24"/>
      <c r="E19" s="24"/>
      <c r="F19" s="24"/>
      <c r="G19" s="24"/>
      <c r="H19" s="20"/>
    </row>
    <row r="20" customFormat="false" ht="18" hidden="false" customHeight="true" outlineLevel="0" collapsed="false">
      <c r="A20" s="24" t="s">
        <v>94</v>
      </c>
      <c r="B20" s="24"/>
      <c r="C20" s="24"/>
      <c r="D20" s="24"/>
      <c r="E20" s="24"/>
      <c r="F20" s="24"/>
      <c r="G20" s="24"/>
      <c r="H20" s="20"/>
    </row>
    <row r="21" customFormat="false" ht="15" hidden="false" customHeight="false" outlineLevel="0" collapsed="false">
      <c r="A21" s="15"/>
      <c r="B21" s="16"/>
      <c r="C21" s="16"/>
      <c r="D21" s="17"/>
      <c r="E21" s="16"/>
      <c r="F21" s="18"/>
      <c r="G21" s="19"/>
      <c r="H21" s="20"/>
    </row>
    <row r="22" customFormat="false" ht="15" hidden="false" customHeight="false" outlineLevel="0" collapsed="false">
      <c r="A22" s="15"/>
      <c r="B22" s="16"/>
      <c r="C22" s="25"/>
      <c r="D22" s="21"/>
      <c r="E22" s="21"/>
      <c r="F22" s="21"/>
      <c r="G22" s="22"/>
      <c r="H22" s="20"/>
    </row>
    <row r="23" customFormat="false" ht="15" hidden="false" customHeight="false" outlineLevel="0" collapsed="false">
      <c r="A23" s="15"/>
      <c r="B23" s="16"/>
      <c r="C23" s="26"/>
      <c r="D23" s="26"/>
      <c r="E23" s="26"/>
      <c r="F23" s="26"/>
      <c r="G23" s="26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6:G16"/>
    <mergeCell ref="A17:G17"/>
    <mergeCell ref="A18:G18"/>
    <mergeCell ref="A19:G19"/>
    <mergeCell ref="A20:G20"/>
    <mergeCell ref="C23:G23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5" activeCellId="0" sqref="A15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95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-415.81</v>
      </c>
      <c r="J2" s="12" t="s">
        <v>52</v>
      </c>
      <c r="K2" s="13" t="n">
        <f aca="false">SUMIF($A:$A,"&lt;&gt;",$D:$D)</f>
        <v>-415.81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'01-Jan'!$K$3+$K$2</f>
        <v>-863.82</v>
      </c>
    </row>
    <row r="4" customFormat="false" ht="18" hidden="false" customHeight="true" outlineLevel="0" collapsed="false">
      <c r="A4" s="15" t="n">
        <v>46054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46054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46068</v>
      </c>
      <c r="B6" s="16" t="s">
        <v>60</v>
      </c>
      <c r="C6" s="16" t="s">
        <v>74</v>
      </c>
      <c r="D6" s="17" t="n">
        <v>218</v>
      </c>
      <c r="E6" s="16" t="s">
        <v>62</v>
      </c>
      <c r="F6" s="18" t="s">
        <v>18</v>
      </c>
      <c r="G6" s="19" t="s">
        <v>75</v>
      </c>
      <c r="H6" s="20"/>
    </row>
    <row r="7" customFormat="false" ht="18" hidden="false" customHeight="true" outlineLevel="0" collapsed="false">
      <c r="A7" s="15" t="n">
        <v>46068</v>
      </c>
      <c r="B7" s="16" t="s">
        <v>60</v>
      </c>
      <c r="C7" s="16" t="s">
        <v>76</v>
      </c>
      <c r="D7" s="17" t="n">
        <v>545</v>
      </c>
      <c r="E7" s="16" t="s">
        <v>62</v>
      </c>
      <c r="F7" s="18" t="s">
        <v>18</v>
      </c>
      <c r="G7" s="19" t="s">
        <v>77</v>
      </c>
      <c r="H7" s="20"/>
    </row>
    <row r="8" customFormat="false" ht="18" hidden="false" customHeight="true" outlineLevel="0" collapsed="false">
      <c r="A8" s="15" t="n">
        <v>46068</v>
      </c>
      <c r="B8" s="16" t="s">
        <v>78</v>
      </c>
      <c r="C8" s="16" t="s">
        <v>79</v>
      </c>
      <c r="D8" s="17" t="n">
        <v>31</v>
      </c>
      <c r="E8" s="16" t="s">
        <v>62</v>
      </c>
      <c r="F8" s="18" t="s">
        <v>20</v>
      </c>
      <c r="G8" s="19" t="s">
        <v>80</v>
      </c>
      <c r="H8" s="20"/>
    </row>
    <row r="9" customFormat="false" ht="18" hidden="false" customHeight="true" outlineLevel="0" collapsed="false">
      <c r="A9" s="15" t="n">
        <v>46068</v>
      </c>
      <c r="B9" s="16" t="s">
        <v>78</v>
      </c>
      <c r="C9" s="16" t="s">
        <v>81</v>
      </c>
      <c r="D9" s="17" t="n">
        <v>14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46068</v>
      </c>
      <c r="B10" s="16" t="s">
        <v>78</v>
      </c>
      <c r="C10" s="16" t="s">
        <v>82</v>
      </c>
      <c r="D10" s="17" t="n">
        <v>120</v>
      </c>
      <c r="E10" s="16" t="s">
        <v>62</v>
      </c>
      <c r="F10" s="18" t="s">
        <v>20</v>
      </c>
      <c r="G10" s="19" t="s">
        <v>83</v>
      </c>
      <c r="H10" s="20"/>
    </row>
    <row r="11" customFormat="false" ht="18" hidden="false" customHeight="true" outlineLevel="0" collapsed="false">
      <c r="A11" s="15" t="n">
        <v>46068</v>
      </c>
      <c r="B11" s="16" t="s">
        <v>78</v>
      </c>
      <c r="C11" s="16" t="s">
        <v>84</v>
      </c>
      <c r="D11" s="17" t="n">
        <v>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46080</v>
      </c>
      <c r="B12" s="16" t="s">
        <v>85</v>
      </c>
      <c r="C12" s="16" t="s">
        <v>86</v>
      </c>
      <c r="D12" s="17" t="n">
        <v>-2380</v>
      </c>
      <c r="E12" s="16" t="s">
        <v>87</v>
      </c>
      <c r="F12" s="18" t="s">
        <v>88</v>
      </c>
      <c r="G12" s="19" t="s">
        <v>89</v>
      </c>
      <c r="H12" s="20"/>
    </row>
    <row r="13" customFormat="false" ht="18" hidden="false" customHeight="true" outlineLevel="0" collapsed="false">
      <c r="A13" s="15" t="n">
        <v>46081</v>
      </c>
      <c r="B13" s="16" t="s">
        <v>96</v>
      </c>
      <c r="C13" s="16" t="s">
        <v>97</v>
      </c>
      <c r="D13" s="17" t="n">
        <v>236.19</v>
      </c>
      <c r="E13" s="16" t="s">
        <v>62</v>
      </c>
      <c r="F13" s="18" t="s">
        <v>18</v>
      </c>
      <c r="G13" s="19" t="s">
        <v>98</v>
      </c>
      <c r="H13" s="20"/>
    </row>
    <row r="14" customFormat="false" ht="18" hidden="false" customHeight="true" outlineLevel="0" collapsed="false">
      <c r="A14" s="15"/>
      <c r="B14" s="16"/>
      <c r="C14" s="16"/>
      <c r="D14" s="17"/>
      <c r="E14" s="16"/>
      <c r="F14" s="18"/>
      <c r="G14" s="19"/>
      <c r="H14" s="20"/>
    </row>
    <row r="15" customFormat="false" ht="18" hidden="false" customHeight="true" outlineLevel="0" collapsed="false">
      <c r="A15" s="23" t="s">
        <v>90</v>
      </c>
      <c r="B15" s="23"/>
      <c r="C15" s="23"/>
      <c r="D15" s="23"/>
      <c r="E15" s="23"/>
      <c r="F15" s="23"/>
      <c r="G15" s="23"/>
      <c r="H15" s="20"/>
    </row>
    <row r="16" customFormat="false" ht="19.5" hidden="false" customHeight="true" outlineLevel="0" collapsed="false">
      <c r="A16" s="24" t="s">
        <v>91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92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93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94</v>
      </c>
      <c r="B19" s="24"/>
      <c r="C19" s="24"/>
      <c r="D19" s="24"/>
      <c r="E19" s="24"/>
      <c r="F19" s="24"/>
      <c r="G19" s="24"/>
      <c r="H19" s="20"/>
    </row>
    <row r="20" customFormat="false" ht="18" hidden="false" customHeight="true" outlineLevel="0" collapsed="false">
      <c r="A20" s="24"/>
      <c r="B20" s="24"/>
      <c r="C20" s="24"/>
      <c r="D20" s="24"/>
      <c r="E20" s="24"/>
      <c r="F20" s="24"/>
      <c r="G20" s="24"/>
      <c r="H20" s="20"/>
    </row>
    <row r="21" customFormat="false" ht="15" hidden="false" customHeight="false" outlineLevel="0" collapsed="false">
      <c r="A21" s="15"/>
      <c r="B21" s="16"/>
      <c r="C21" s="25"/>
      <c r="D21" s="27"/>
      <c r="E21" s="16"/>
      <c r="F21" s="18"/>
      <c r="G21" s="19"/>
      <c r="H21" s="20"/>
    </row>
    <row r="22" customFormat="false" ht="15" hidden="false" customHeight="false" outlineLevel="0" collapsed="false">
      <c r="A22" s="15"/>
      <c r="B22" s="16"/>
      <c r="C22" s="16"/>
      <c r="D22" s="21"/>
      <c r="E22" s="21"/>
      <c r="F22" s="21"/>
      <c r="G22" s="22"/>
      <c r="H22" s="20"/>
    </row>
    <row r="23" customFormat="false" ht="15" hidden="false" customHeight="false" outlineLevel="0" collapsed="false">
      <c r="A23" s="15"/>
      <c r="B23" s="16"/>
      <c r="C23" s="26"/>
      <c r="D23" s="26"/>
      <c r="E23" s="26"/>
      <c r="F23" s="26"/>
      <c r="G23" s="26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8">
    <mergeCell ref="A1:G1"/>
    <mergeCell ref="A15:G15"/>
    <mergeCell ref="A16:G16"/>
    <mergeCell ref="A17:G17"/>
    <mergeCell ref="A18:G18"/>
    <mergeCell ref="A19:G19"/>
    <mergeCell ref="A20:G20"/>
    <mergeCell ref="C23:G23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1" activeCellId="0" sqref="C2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99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-498</v>
      </c>
      <c r="J2" s="12" t="s">
        <v>52</v>
      </c>
      <c r="K2" s="13" t="n">
        <f aca="false">SUMIF($A:$A,"&lt;&gt;",$D:$D)</f>
        <v>-498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'02-Feb'!$K$3+$K$2</f>
        <v>-1361.82</v>
      </c>
    </row>
    <row r="4" customFormat="false" ht="18" hidden="false" customHeight="true" outlineLevel="0" collapsed="false">
      <c r="A4" s="15" t="n">
        <v>46082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46082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46082</v>
      </c>
      <c r="B6" s="16" t="s">
        <v>67</v>
      </c>
      <c r="C6" s="16" t="s">
        <v>68</v>
      </c>
      <c r="D6" s="17" t="n">
        <v>154</v>
      </c>
      <c r="E6" s="16" t="s">
        <v>62</v>
      </c>
      <c r="F6" s="18" t="s">
        <v>20</v>
      </c>
      <c r="G6" s="19" t="s">
        <v>69</v>
      </c>
      <c r="H6" s="20"/>
    </row>
    <row r="7" customFormat="false" ht="18" hidden="false" customHeight="true" outlineLevel="0" collapsed="false">
      <c r="A7" s="15" t="n">
        <v>46096</v>
      </c>
      <c r="B7" s="16" t="s">
        <v>60</v>
      </c>
      <c r="C7" s="16" t="s">
        <v>74</v>
      </c>
      <c r="D7" s="17" t="n">
        <v>218</v>
      </c>
      <c r="E7" s="16" t="s">
        <v>62</v>
      </c>
      <c r="F7" s="18" t="s">
        <v>18</v>
      </c>
      <c r="G7" s="19" t="s">
        <v>75</v>
      </c>
      <c r="H7" s="20"/>
    </row>
    <row r="8" customFormat="false" ht="18" hidden="false" customHeight="true" outlineLevel="0" collapsed="false">
      <c r="A8" s="15" t="n">
        <v>46096</v>
      </c>
      <c r="B8" s="16" t="s">
        <v>60</v>
      </c>
      <c r="C8" s="16" t="s">
        <v>76</v>
      </c>
      <c r="D8" s="17" t="n">
        <v>545</v>
      </c>
      <c r="E8" s="16" t="s">
        <v>62</v>
      </c>
      <c r="F8" s="18" t="s">
        <v>18</v>
      </c>
      <c r="G8" s="19" t="s">
        <v>77</v>
      </c>
      <c r="H8" s="20"/>
    </row>
    <row r="9" customFormat="false" ht="18" hidden="false" customHeight="true" outlineLevel="0" collapsed="false">
      <c r="A9" s="15" t="n">
        <v>46096</v>
      </c>
      <c r="B9" s="16" t="s">
        <v>78</v>
      </c>
      <c r="C9" s="16" t="s">
        <v>79</v>
      </c>
      <c r="D9" s="17" t="n">
        <v>31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46096</v>
      </c>
      <c r="B10" s="16" t="s">
        <v>78</v>
      </c>
      <c r="C10" s="16" t="s">
        <v>81</v>
      </c>
      <c r="D10" s="17" t="n">
        <v>14</v>
      </c>
      <c r="E10" s="16" t="s">
        <v>62</v>
      </c>
      <c r="F10" s="18" t="s">
        <v>20</v>
      </c>
      <c r="G10" s="19" t="s">
        <v>80</v>
      </c>
      <c r="H10" s="20"/>
    </row>
    <row r="11" customFormat="false" ht="18" hidden="false" customHeight="true" outlineLevel="0" collapsed="false">
      <c r="A11" s="15" t="n">
        <v>46096</v>
      </c>
      <c r="B11" s="16" t="s">
        <v>78</v>
      </c>
      <c r="C11" s="16" t="s">
        <v>82</v>
      </c>
      <c r="D11" s="17" t="n">
        <v>120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46096</v>
      </c>
      <c r="B12" s="16" t="s">
        <v>78</v>
      </c>
      <c r="C12" s="16" t="s">
        <v>84</v>
      </c>
      <c r="D12" s="17" t="n">
        <v>20</v>
      </c>
      <c r="E12" s="16" t="s">
        <v>62</v>
      </c>
      <c r="F12" s="18" t="s">
        <v>20</v>
      </c>
      <c r="G12" s="19" t="s">
        <v>83</v>
      </c>
      <c r="H12" s="20"/>
    </row>
    <row r="13" customFormat="false" ht="18" hidden="false" customHeight="true" outlineLevel="0" collapsed="false">
      <c r="A13" s="15" t="n">
        <v>46108</v>
      </c>
      <c r="B13" s="16" t="s">
        <v>85</v>
      </c>
      <c r="C13" s="16" t="s">
        <v>86</v>
      </c>
      <c r="D13" s="17" t="n">
        <v>-2380</v>
      </c>
      <c r="E13" s="16" t="s">
        <v>87</v>
      </c>
      <c r="F13" s="18" t="s">
        <v>88</v>
      </c>
      <c r="G13" s="19" t="s">
        <v>89</v>
      </c>
      <c r="H13" s="20"/>
    </row>
    <row r="14" customFormat="false" ht="18" hidden="false" customHeight="true" outlineLevel="0" collapsed="false">
      <c r="A14" s="15"/>
      <c r="B14" s="21"/>
      <c r="C14" s="21"/>
      <c r="D14" s="21"/>
      <c r="E14" s="21"/>
      <c r="F14" s="21"/>
      <c r="G14" s="22"/>
      <c r="H14" s="20"/>
    </row>
    <row r="15" customFormat="false" ht="19.5" hidden="false" customHeight="true" outlineLevel="0" collapsed="false">
      <c r="A15" s="23" t="s">
        <v>90</v>
      </c>
      <c r="B15" s="23"/>
      <c r="C15" s="23"/>
      <c r="D15" s="23"/>
      <c r="E15" s="23"/>
      <c r="F15" s="23"/>
      <c r="G15" s="23"/>
      <c r="H15" s="20"/>
    </row>
    <row r="16" customFormat="false" ht="18" hidden="false" customHeight="true" outlineLevel="0" collapsed="false">
      <c r="A16" s="24" t="s">
        <v>91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92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93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94</v>
      </c>
      <c r="B19" s="24"/>
      <c r="C19" s="24"/>
      <c r="D19" s="24"/>
      <c r="E19" s="24"/>
      <c r="F19" s="24"/>
      <c r="G19" s="24"/>
      <c r="H19" s="20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8"/>
      <c r="G20" s="19"/>
      <c r="H20" s="20"/>
    </row>
    <row r="21" customFormat="false" ht="15" hidden="false" customHeight="false" outlineLevel="0" collapsed="false">
      <c r="A21" s="15"/>
      <c r="B21" s="16"/>
      <c r="C21" s="25"/>
      <c r="D21" s="21"/>
      <c r="E21" s="21"/>
      <c r="F21" s="21"/>
      <c r="G21" s="22"/>
      <c r="H21" s="20"/>
    </row>
    <row r="22" customFormat="false" ht="15" hidden="false" customHeight="false" outlineLevel="0" collapsed="false">
      <c r="A22" s="15"/>
      <c r="B22" s="16"/>
      <c r="C22" s="26"/>
      <c r="D22" s="26"/>
      <c r="E22" s="26"/>
      <c r="F22" s="26"/>
      <c r="G22" s="26"/>
      <c r="H22" s="20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8"/>
      <c r="G23" s="19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5:G15"/>
    <mergeCell ref="A16:G16"/>
    <mergeCell ref="A17:G17"/>
    <mergeCell ref="A18:G18"/>
    <mergeCell ref="A19:G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4" activeCellId="0" sqref="A14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100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-652</v>
      </c>
      <c r="J2" s="12" t="s">
        <v>52</v>
      </c>
      <c r="K2" s="13" t="n">
        <f aca="false">SUMIF($A:$A,"&lt;&gt;",$D:$D)</f>
        <v>-652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'03-Mar'!$K$3+$K$2</f>
        <v>-2013.82</v>
      </c>
    </row>
    <row r="4" customFormat="false" ht="18" hidden="false" customHeight="true" outlineLevel="0" collapsed="false">
      <c r="A4" s="15" t="n">
        <v>46113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46113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46127</v>
      </c>
      <c r="B6" s="16" t="s">
        <v>60</v>
      </c>
      <c r="C6" s="16" t="s">
        <v>74</v>
      </c>
      <c r="D6" s="17" t="n">
        <v>218</v>
      </c>
      <c r="E6" s="16" t="s">
        <v>62</v>
      </c>
      <c r="F6" s="18" t="s">
        <v>18</v>
      </c>
      <c r="G6" s="19" t="s">
        <v>75</v>
      </c>
      <c r="H6" s="20"/>
    </row>
    <row r="7" customFormat="false" ht="18" hidden="false" customHeight="true" outlineLevel="0" collapsed="false">
      <c r="A7" s="15" t="n">
        <v>46127</v>
      </c>
      <c r="B7" s="16" t="s">
        <v>60</v>
      </c>
      <c r="C7" s="16" t="s">
        <v>76</v>
      </c>
      <c r="D7" s="17" t="n">
        <v>545</v>
      </c>
      <c r="E7" s="16" t="s">
        <v>62</v>
      </c>
      <c r="F7" s="18" t="s">
        <v>18</v>
      </c>
      <c r="G7" s="19" t="s">
        <v>77</v>
      </c>
      <c r="H7" s="20"/>
    </row>
    <row r="8" customFormat="false" ht="18" hidden="false" customHeight="true" outlineLevel="0" collapsed="false">
      <c r="A8" s="15" t="n">
        <v>46127</v>
      </c>
      <c r="B8" s="16" t="s">
        <v>78</v>
      </c>
      <c r="C8" s="16" t="s">
        <v>79</v>
      </c>
      <c r="D8" s="17" t="n">
        <v>31</v>
      </c>
      <c r="E8" s="16" t="s">
        <v>62</v>
      </c>
      <c r="F8" s="18" t="s">
        <v>20</v>
      </c>
      <c r="G8" s="19" t="s">
        <v>80</v>
      </c>
      <c r="H8" s="20"/>
    </row>
    <row r="9" customFormat="false" ht="18" hidden="false" customHeight="true" outlineLevel="0" collapsed="false">
      <c r="A9" s="15" t="n">
        <v>46127</v>
      </c>
      <c r="B9" s="16" t="s">
        <v>78</v>
      </c>
      <c r="C9" s="16" t="s">
        <v>81</v>
      </c>
      <c r="D9" s="17" t="n">
        <v>14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46127</v>
      </c>
      <c r="B10" s="16" t="s">
        <v>78</v>
      </c>
      <c r="C10" s="16" t="s">
        <v>82</v>
      </c>
      <c r="D10" s="17" t="n">
        <v>120</v>
      </c>
      <c r="E10" s="16" t="s">
        <v>62</v>
      </c>
      <c r="F10" s="18" t="s">
        <v>20</v>
      </c>
      <c r="G10" s="19" t="s">
        <v>83</v>
      </c>
      <c r="H10" s="20"/>
    </row>
    <row r="11" customFormat="false" ht="18" hidden="false" customHeight="true" outlineLevel="0" collapsed="false">
      <c r="A11" s="15" t="n">
        <v>46127</v>
      </c>
      <c r="B11" s="16" t="s">
        <v>78</v>
      </c>
      <c r="C11" s="16" t="s">
        <v>84</v>
      </c>
      <c r="D11" s="17" t="n">
        <v>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46139</v>
      </c>
      <c r="B12" s="16" t="s">
        <v>85</v>
      </c>
      <c r="C12" s="16" t="s">
        <v>86</v>
      </c>
      <c r="D12" s="17" t="n">
        <v>-2380</v>
      </c>
      <c r="E12" s="16" t="s">
        <v>87</v>
      </c>
      <c r="F12" s="18" t="s">
        <v>88</v>
      </c>
      <c r="G12" s="19" t="s">
        <v>89</v>
      </c>
      <c r="H12" s="20"/>
    </row>
    <row r="13" customFormat="false" ht="18" hidden="false" customHeight="true" outlineLevel="0" collapsed="false">
      <c r="A13" s="15"/>
      <c r="B13" s="16"/>
      <c r="C13" s="16"/>
      <c r="D13" s="17"/>
      <c r="E13" s="16"/>
      <c r="F13" s="18"/>
      <c r="G13" s="19"/>
      <c r="H13" s="20"/>
    </row>
    <row r="14" customFormat="false" ht="18" hidden="false" customHeight="true" outlineLevel="0" collapsed="false">
      <c r="A14" s="23" t="s">
        <v>90</v>
      </c>
      <c r="B14" s="23"/>
      <c r="C14" s="23"/>
      <c r="D14" s="23"/>
      <c r="E14" s="23"/>
      <c r="F14" s="23"/>
      <c r="G14" s="23"/>
      <c r="H14" s="20"/>
    </row>
    <row r="15" customFormat="false" ht="19.5" hidden="false" customHeight="true" outlineLevel="0" collapsed="false">
      <c r="A15" s="24" t="s">
        <v>91</v>
      </c>
      <c r="B15" s="24"/>
      <c r="C15" s="24"/>
      <c r="D15" s="24"/>
      <c r="E15" s="24"/>
      <c r="F15" s="24"/>
      <c r="G15" s="24"/>
      <c r="H15" s="20"/>
    </row>
    <row r="16" customFormat="false" ht="18" hidden="false" customHeight="true" outlineLevel="0" collapsed="false">
      <c r="A16" s="24" t="s">
        <v>92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93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94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/>
      <c r="B19" s="24"/>
      <c r="C19" s="24"/>
      <c r="D19" s="24"/>
      <c r="E19" s="24"/>
      <c r="F19" s="24"/>
      <c r="G19" s="24"/>
      <c r="H19" s="20"/>
    </row>
    <row r="20" customFormat="false" ht="15" hidden="false" customHeight="false" outlineLevel="0" collapsed="false">
      <c r="A20" s="15"/>
      <c r="B20" s="16"/>
      <c r="C20" s="25"/>
      <c r="D20" s="27"/>
      <c r="E20" s="16"/>
      <c r="F20" s="18"/>
      <c r="G20" s="19"/>
      <c r="H20" s="20"/>
    </row>
    <row r="21" customFormat="false" ht="15" hidden="false" customHeight="false" outlineLevel="0" collapsed="false">
      <c r="A21" s="15"/>
      <c r="B21" s="16"/>
      <c r="C21" s="16"/>
      <c r="D21" s="21"/>
      <c r="E21" s="21"/>
      <c r="F21" s="21"/>
      <c r="G21" s="22"/>
      <c r="H21" s="20"/>
    </row>
    <row r="22" customFormat="false" ht="15" hidden="false" customHeight="false" outlineLevel="0" collapsed="false">
      <c r="A22" s="15"/>
      <c r="B22" s="16"/>
      <c r="C22" s="26"/>
      <c r="D22" s="26"/>
      <c r="E22" s="26"/>
      <c r="F22" s="26"/>
      <c r="G22" s="26"/>
      <c r="H22" s="20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8"/>
      <c r="G23" s="19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8">
    <mergeCell ref="A1:G1"/>
    <mergeCell ref="A14:G14"/>
    <mergeCell ref="A15:G15"/>
    <mergeCell ref="A16:G16"/>
    <mergeCell ref="A17:G17"/>
    <mergeCell ref="A18:G18"/>
    <mergeCell ref="A19:G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2" activeCellId="0" sqref="C22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101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-261.81</v>
      </c>
      <c r="J2" s="12" t="s">
        <v>52</v>
      </c>
      <c r="K2" s="13" t="n">
        <f aca="false">SUMIF($A:$A,"&lt;&gt;",$D:$D)</f>
        <v>-261.81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'04-Apr'!$K$3+$K$2</f>
        <v>-2275.63</v>
      </c>
    </row>
    <row r="4" customFormat="false" ht="18" hidden="false" customHeight="true" outlineLevel="0" collapsed="false">
      <c r="A4" s="15" t="n">
        <v>46143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46143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46143</v>
      </c>
      <c r="B6" s="16" t="s">
        <v>67</v>
      </c>
      <c r="C6" s="16" t="s">
        <v>68</v>
      </c>
      <c r="D6" s="17" t="n">
        <v>154</v>
      </c>
      <c r="E6" s="16" t="s">
        <v>62</v>
      </c>
      <c r="F6" s="18" t="s">
        <v>20</v>
      </c>
      <c r="G6" s="19" t="s">
        <v>69</v>
      </c>
      <c r="H6" s="20"/>
    </row>
    <row r="7" customFormat="false" ht="18" hidden="false" customHeight="true" outlineLevel="0" collapsed="false">
      <c r="A7" s="15" t="n">
        <v>46157</v>
      </c>
      <c r="B7" s="16" t="s">
        <v>60</v>
      </c>
      <c r="C7" s="16" t="s">
        <v>74</v>
      </c>
      <c r="D7" s="17" t="n">
        <v>218</v>
      </c>
      <c r="E7" s="16" t="s">
        <v>62</v>
      </c>
      <c r="F7" s="18" t="s">
        <v>18</v>
      </c>
      <c r="G7" s="19" t="s">
        <v>75</v>
      </c>
      <c r="H7" s="20"/>
    </row>
    <row r="8" customFormat="false" ht="18" hidden="false" customHeight="true" outlineLevel="0" collapsed="false">
      <c r="A8" s="15" t="n">
        <v>46157</v>
      </c>
      <c r="B8" s="16" t="s">
        <v>60</v>
      </c>
      <c r="C8" s="16" t="s">
        <v>76</v>
      </c>
      <c r="D8" s="17" t="n">
        <v>545</v>
      </c>
      <c r="E8" s="16" t="s">
        <v>62</v>
      </c>
      <c r="F8" s="18" t="s">
        <v>18</v>
      </c>
      <c r="G8" s="19" t="s">
        <v>77</v>
      </c>
      <c r="H8" s="20"/>
    </row>
    <row r="9" customFormat="false" ht="18" hidden="false" customHeight="true" outlineLevel="0" collapsed="false">
      <c r="A9" s="15" t="n">
        <v>46157</v>
      </c>
      <c r="B9" s="16" t="s">
        <v>78</v>
      </c>
      <c r="C9" s="16" t="s">
        <v>79</v>
      </c>
      <c r="D9" s="17" t="n">
        <v>31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46157</v>
      </c>
      <c r="B10" s="16" t="s">
        <v>78</v>
      </c>
      <c r="C10" s="16" t="s">
        <v>81</v>
      </c>
      <c r="D10" s="17" t="n">
        <v>14</v>
      </c>
      <c r="E10" s="16" t="s">
        <v>62</v>
      </c>
      <c r="F10" s="18" t="s">
        <v>20</v>
      </c>
      <c r="G10" s="19" t="s">
        <v>80</v>
      </c>
      <c r="H10" s="20"/>
    </row>
    <row r="11" customFormat="false" ht="18" hidden="false" customHeight="true" outlineLevel="0" collapsed="false">
      <c r="A11" s="15" t="n">
        <v>46157</v>
      </c>
      <c r="B11" s="16" t="s">
        <v>78</v>
      </c>
      <c r="C11" s="16" t="s">
        <v>82</v>
      </c>
      <c r="D11" s="17" t="n">
        <v>120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46157</v>
      </c>
      <c r="B12" s="16" t="s">
        <v>78</v>
      </c>
      <c r="C12" s="16" t="s">
        <v>84</v>
      </c>
      <c r="D12" s="17" t="n">
        <v>20</v>
      </c>
      <c r="E12" s="16" t="s">
        <v>62</v>
      </c>
      <c r="F12" s="18" t="s">
        <v>20</v>
      </c>
      <c r="G12" s="19" t="s">
        <v>83</v>
      </c>
      <c r="H12" s="20"/>
    </row>
    <row r="13" customFormat="false" ht="18" hidden="false" customHeight="true" outlineLevel="0" collapsed="false">
      <c r="A13" s="15" t="n">
        <v>46169</v>
      </c>
      <c r="B13" s="16" t="s">
        <v>85</v>
      </c>
      <c r="C13" s="16" t="s">
        <v>86</v>
      </c>
      <c r="D13" s="17" t="n">
        <v>-2380</v>
      </c>
      <c r="E13" s="16" t="s">
        <v>87</v>
      </c>
      <c r="F13" s="18" t="s">
        <v>88</v>
      </c>
      <c r="G13" s="19" t="s">
        <v>89</v>
      </c>
      <c r="H13" s="20"/>
    </row>
    <row r="14" customFormat="false" ht="18" hidden="false" customHeight="true" outlineLevel="0" collapsed="false">
      <c r="A14" s="15" t="n">
        <v>46173</v>
      </c>
      <c r="B14" s="16" t="s">
        <v>96</v>
      </c>
      <c r="C14" s="16" t="s">
        <v>97</v>
      </c>
      <c r="D14" s="17" t="n">
        <v>236.19</v>
      </c>
      <c r="E14" s="16" t="s">
        <v>62</v>
      </c>
      <c r="F14" s="18" t="s">
        <v>18</v>
      </c>
      <c r="G14" s="19" t="s">
        <v>98</v>
      </c>
      <c r="H14" s="20"/>
    </row>
    <row r="15" customFormat="false" ht="18" hidden="false" customHeight="true" outlineLevel="0" collapsed="false">
      <c r="A15" s="15"/>
      <c r="B15" s="21"/>
      <c r="C15" s="21"/>
      <c r="D15" s="21"/>
      <c r="E15" s="21"/>
      <c r="F15" s="21"/>
      <c r="G15" s="22"/>
      <c r="H15" s="20"/>
    </row>
    <row r="16" customFormat="false" ht="19.5" hidden="false" customHeight="true" outlineLevel="0" collapsed="false">
      <c r="A16" s="23" t="s">
        <v>90</v>
      </c>
      <c r="B16" s="23"/>
      <c r="C16" s="23"/>
      <c r="D16" s="23"/>
      <c r="E16" s="23"/>
      <c r="F16" s="23"/>
      <c r="G16" s="23"/>
      <c r="H16" s="20"/>
    </row>
    <row r="17" customFormat="false" ht="18" hidden="false" customHeight="true" outlineLevel="0" collapsed="false">
      <c r="A17" s="24" t="s">
        <v>91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92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93</v>
      </c>
      <c r="B19" s="24"/>
      <c r="C19" s="24"/>
      <c r="D19" s="24"/>
      <c r="E19" s="24"/>
      <c r="F19" s="24"/>
      <c r="G19" s="24"/>
      <c r="H19" s="20"/>
    </row>
    <row r="20" customFormat="false" ht="18" hidden="false" customHeight="true" outlineLevel="0" collapsed="false">
      <c r="A20" s="24" t="s">
        <v>94</v>
      </c>
      <c r="B20" s="24"/>
      <c r="C20" s="24"/>
      <c r="D20" s="24"/>
      <c r="E20" s="24"/>
      <c r="F20" s="24"/>
      <c r="G20" s="24"/>
      <c r="H20" s="20"/>
    </row>
    <row r="21" customFormat="false" ht="15" hidden="false" customHeight="false" outlineLevel="0" collapsed="false">
      <c r="A21" s="15"/>
      <c r="B21" s="16"/>
      <c r="C21" s="16"/>
      <c r="D21" s="17"/>
      <c r="E21" s="16"/>
      <c r="F21" s="18"/>
      <c r="G21" s="19"/>
      <c r="H21" s="20"/>
    </row>
    <row r="22" customFormat="false" ht="15" hidden="false" customHeight="false" outlineLevel="0" collapsed="false">
      <c r="A22" s="15"/>
      <c r="B22" s="16"/>
      <c r="C22" s="25"/>
      <c r="D22" s="21"/>
      <c r="E22" s="21"/>
      <c r="F22" s="21"/>
      <c r="G22" s="22"/>
      <c r="H22" s="20"/>
    </row>
    <row r="23" customFormat="false" ht="15" hidden="false" customHeight="false" outlineLevel="0" collapsed="false">
      <c r="A23" s="15"/>
      <c r="B23" s="16"/>
      <c r="C23" s="26"/>
      <c r="D23" s="26"/>
      <c r="E23" s="26"/>
      <c r="F23" s="26"/>
      <c r="G23" s="26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6:G16"/>
    <mergeCell ref="A17:G17"/>
    <mergeCell ref="A18:G18"/>
    <mergeCell ref="A19:G19"/>
    <mergeCell ref="A20:G20"/>
    <mergeCell ref="C23:G23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3" activeCellId="0" sqref="G1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102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-3032</v>
      </c>
      <c r="J2" s="12" t="s">
        <v>52</v>
      </c>
      <c r="K2" s="13" t="n">
        <f aca="false">SUMIF($A:$A,"&lt;&gt;",$D:$D)</f>
        <v>-3032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'05-May'!$K$3+$K$2</f>
        <v>-5307.63</v>
      </c>
    </row>
    <row r="4" customFormat="false" ht="18" hidden="false" customHeight="true" outlineLevel="0" collapsed="false">
      <c r="A4" s="15" t="n">
        <v>46174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46174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46188</v>
      </c>
      <c r="B6" s="16" t="s">
        <v>60</v>
      </c>
      <c r="C6" s="16" t="s">
        <v>74</v>
      </c>
      <c r="D6" s="17" t="n">
        <v>218</v>
      </c>
      <c r="E6" s="16" t="s">
        <v>62</v>
      </c>
      <c r="F6" s="18" t="s">
        <v>18</v>
      </c>
      <c r="G6" s="19" t="s">
        <v>75</v>
      </c>
      <c r="H6" s="20"/>
    </row>
    <row r="7" customFormat="false" ht="18" hidden="false" customHeight="true" outlineLevel="0" collapsed="false">
      <c r="A7" s="15" t="n">
        <v>46188</v>
      </c>
      <c r="B7" s="16" t="s">
        <v>60</v>
      </c>
      <c r="C7" s="16" t="s">
        <v>76</v>
      </c>
      <c r="D7" s="17" t="n">
        <v>545</v>
      </c>
      <c r="E7" s="16" t="s">
        <v>62</v>
      </c>
      <c r="F7" s="18" t="s">
        <v>18</v>
      </c>
      <c r="G7" s="19" t="s">
        <v>77</v>
      </c>
      <c r="H7" s="20"/>
    </row>
    <row r="8" customFormat="false" ht="18" hidden="false" customHeight="true" outlineLevel="0" collapsed="false">
      <c r="A8" s="15" t="n">
        <v>46188</v>
      </c>
      <c r="B8" s="16" t="s">
        <v>78</v>
      </c>
      <c r="C8" s="16" t="s">
        <v>79</v>
      </c>
      <c r="D8" s="17" t="n">
        <v>31</v>
      </c>
      <c r="E8" s="16" t="s">
        <v>62</v>
      </c>
      <c r="F8" s="18" t="s">
        <v>20</v>
      </c>
      <c r="G8" s="19" t="s">
        <v>80</v>
      </c>
      <c r="H8" s="20"/>
    </row>
    <row r="9" customFormat="false" ht="18" hidden="false" customHeight="true" outlineLevel="0" collapsed="false">
      <c r="A9" s="15" t="n">
        <v>46188</v>
      </c>
      <c r="B9" s="16" t="s">
        <v>78</v>
      </c>
      <c r="C9" s="16" t="s">
        <v>81</v>
      </c>
      <c r="D9" s="17" t="n">
        <v>14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46188</v>
      </c>
      <c r="B10" s="16" t="s">
        <v>78</v>
      </c>
      <c r="C10" s="16" t="s">
        <v>82</v>
      </c>
      <c r="D10" s="17" t="n">
        <v>120</v>
      </c>
      <c r="E10" s="16" t="s">
        <v>62</v>
      </c>
      <c r="F10" s="18" t="s">
        <v>20</v>
      </c>
      <c r="G10" s="19" t="s">
        <v>83</v>
      </c>
      <c r="H10" s="20"/>
    </row>
    <row r="11" customFormat="false" ht="18" hidden="false" customHeight="true" outlineLevel="0" collapsed="false">
      <c r="A11" s="15" t="n">
        <v>46188</v>
      </c>
      <c r="B11" s="16" t="s">
        <v>78</v>
      </c>
      <c r="C11" s="16" t="s">
        <v>84</v>
      </c>
      <c r="D11" s="17" t="n">
        <v>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46200</v>
      </c>
      <c r="B12" s="16" t="s">
        <v>85</v>
      </c>
      <c r="C12" s="16" t="s">
        <v>86</v>
      </c>
      <c r="D12" s="17" t="n">
        <v>-2380</v>
      </c>
      <c r="E12" s="16" t="s">
        <v>87</v>
      </c>
      <c r="F12" s="18" t="s">
        <v>88</v>
      </c>
      <c r="G12" s="19" t="s">
        <v>103</v>
      </c>
      <c r="H12" s="20"/>
    </row>
    <row r="13" customFormat="false" ht="18" hidden="false" customHeight="true" outlineLevel="0" collapsed="false">
      <c r="A13" s="15" t="n">
        <v>46200</v>
      </c>
      <c r="B13" s="16" t="s">
        <v>85</v>
      </c>
      <c r="C13" s="16" t="s">
        <v>104</v>
      </c>
      <c r="D13" s="17" t="n">
        <v>-2380</v>
      </c>
      <c r="E13" s="16" t="s">
        <v>87</v>
      </c>
      <c r="F13" s="18" t="s">
        <v>88</v>
      </c>
      <c r="G13" s="19" t="s">
        <v>105</v>
      </c>
      <c r="H13" s="20"/>
    </row>
    <row r="14" customFormat="false" ht="18" hidden="false" customHeight="true" outlineLevel="0" collapsed="false">
      <c r="A14" s="15"/>
      <c r="B14" s="21"/>
      <c r="C14" s="21"/>
      <c r="D14" s="21"/>
      <c r="E14" s="21"/>
      <c r="F14" s="21"/>
      <c r="G14" s="22"/>
      <c r="H14" s="20"/>
    </row>
    <row r="15" customFormat="false" ht="19.5" hidden="false" customHeight="true" outlineLevel="0" collapsed="false">
      <c r="A15" s="23" t="s">
        <v>90</v>
      </c>
      <c r="B15" s="23"/>
      <c r="C15" s="23"/>
      <c r="D15" s="23"/>
      <c r="E15" s="23"/>
      <c r="F15" s="23"/>
      <c r="G15" s="23"/>
      <c r="H15" s="20"/>
    </row>
    <row r="16" customFormat="false" ht="18" hidden="false" customHeight="true" outlineLevel="0" collapsed="false">
      <c r="A16" s="24" t="s">
        <v>91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92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93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94</v>
      </c>
      <c r="B19" s="24"/>
      <c r="C19" s="24"/>
      <c r="D19" s="24"/>
      <c r="E19" s="24"/>
      <c r="F19" s="24"/>
      <c r="G19" s="24"/>
      <c r="H19" s="20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8"/>
      <c r="G20" s="19"/>
      <c r="H20" s="20"/>
    </row>
    <row r="21" customFormat="false" ht="15" hidden="false" customHeight="false" outlineLevel="0" collapsed="false">
      <c r="A21" s="15"/>
      <c r="B21" s="16"/>
      <c r="C21" s="25"/>
      <c r="D21" s="21"/>
      <c r="E21" s="21"/>
      <c r="F21" s="21"/>
      <c r="G21" s="22"/>
      <c r="H21" s="20"/>
    </row>
    <row r="22" customFormat="false" ht="15" hidden="false" customHeight="false" outlineLevel="0" collapsed="false">
      <c r="A22" s="15"/>
      <c r="B22" s="16"/>
      <c r="C22" s="26"/>
      <c r="D22" s="26"/>
      <c r="E22" s="26"/>
      <c r="F22" s="26"/>
      <c r="G22" s="26"/>
      <c r="H22" s="20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8"/>
      <c r="G23" s="19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5:G15"/>
    <mergeCell ref="A16:G16"/>
    <mergeCell ref="A17:G17"/>
    <mergeCell ref="A18:G18"/>
    <mergeCell ref="A19:G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1" activeCellId="0" sqref="C2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106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-498</v>
      </c>
      <c r="J2" s="12" t="s">
        <v>52</v>
      </c>
      <c r="K2" s="13" t="n">
        <f aca="false">SUMIF($A:$A,"&lt;&gt;",$D:$D)</f>
        <v>-498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'06-Jun'!$K$3+$K$2</f>
        <v>-5805.63</v>
      </c>
    </row>
    <row r="4" customFormat="false" ht="18" hidden="false" customHeight="true" outlineLevel="0" collapsed="false">
      <c r="A4" s="15" t="n">
        <v>46204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46204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46204</v>
      </c>
      <c r="B6" s="16" t="s">
        <v>67</v>
      </c>
      <c r="C6" s="16" t="s">
        <v>68</v>
      </c>
      <c r="D6" s="17" t="n">
        <v>154</v>
      </c>
      <c r="E6" s="16" t="s">
        <v>62</v>
      </c>
      <c r="F6" s="18" t="s">
        <v>20</v>
      </c>
      <c r="G6" s="19" t="s">
        <v>69</v>
      </c>
      <c r="H6" s="20"/>
    </row>
    <row r="7" customFormat="false" ht="18" hidden="false" customHeight="true" outlineLevel="0" collapsed="false">
      <c r="A7" s="15" t="n">
        <v>46218</v>
      </c>
      <c r="B7" s="16" t="s">
        <v>60</v>
      </c>
      <c r="C7" s="16" t="s">
        <v>74</v>
      </c>
      <c r="D7" s="17" t="n">
        <v>218</v>
      </c>
      <c r="E7" s="16" t="s">
        <v>62</v>
      </c>
      <c r="F7" s="18" t="s">
        <v>18</v>
      </c>
      <c r="G7" s="19" t="s">
        <v>75</v>
      </c>
      <c r="H7" s="20"/>
    </row>
    <row r="8" customFormat="false" ht="18" hidden="false" customHeight="true" outlineLevel="0" collapsed="false">
      <c r="A8" s="15" t="n">
        <v>46218</v>
      </c>
      <c r="B8" s="16" t="s">
        <v>60</v>
      </c>
      <c r="C8" s="16" t="s">
        <v>76</v>
      </c>
      <c r="D8" s="17" t="n">
        <v>545</v>
      </c>
      <c r="E8" s="16" t="s">
        <v>62</v>
      </c>
      <c r="F8" s="18" t="s">
        <v>18</v>
      </c>
      <c r="G8" s="19" t="s">
        <v>77</v>
      </c>
      <c r="H8" s="20"/>
    </row>
    <row r="9" customFormat="false" ht="18" hidden="false" customHeight="true" outlineLevel="0" collapsed="false">
      <c r="A9" s="15" t="n">
        <v>46218</v>
      </c>
      <c r="B9" s="16" t="s">
        <v>78</v>
      </c>
      <c r="C9" s="16" t="s">
        <v>79</v>
      </c>
      <c r="D9" s="17" t="n">
        <v>31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46218</v>
      </c>
      <c r="B10" s="16" t="s">
        <v>78</v>
      </c>
      <c r="C10" s="16" t="s">
        <v>81</v>
      </c>
      <c r="D10" s="17" t="n">
        <v>14</v>
      </c>
      <c r="E10" s="16" t="s">
        <v>62</v>
      </c>
      <c r="F10" s="18" t="s">
        <v>20</v>
      </c>
      <c r="G10" s="19" t="s">
        <v>80</v>
      </c>
      <c r="H10" s="20"/>
    </row>
    <row r="11" customFormat="false" ht="18" hidden="false" customHeight="true" outlineLevel="0" collapsed="false">
      <c r="A11" s="15" t="n">
        <v>46218</v>
      </c>
      <c r="B11" s="16" t="s">
        <v>78</v>
      </c>
      <c r="C11" s="16" t="s">
        <v>82</v>
      </c>
      <c r="D11" s="17" t="n">
        <v>120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46218</v>
      </c>
      <c r="B12" s="16" t="s">
        <v>78</v>
      </c>
      <c r="C12" s="16" t="s">
        <v>84</v>
      </c>
      <c r="D12" s="17" t="n">
        <v>20</v>
      </c>
      <c r="E12" s="16" t="s">
        <v>62</v>
      </c>
      <c r="F12" s="18" t="s">
        <v>20</v>
      </c>
      <c r="G12" s="19" t="s">
        <v>83</v>
      </c>
      <c r="H12" s="20"/>
    </row>
    <row r="13" customFormat="false" ht="18" hidden="false" customHeight="true" outlineLevel="0" collapsed="false">
      <c r="A13" s="15" t="n">
        <v>46230</v>
      </c>
      <c r="B13" s="16" t="s">
        <v>85</v>
      </c>
      <c r="C13" s="16" t="s">
        <v>86</v>
      </c>
      <c r="D13" s="17" t="n">
        <v>-2380</v>
      </c>
      <c r="E13" s="16" t="s">
        <v>87</v>
      </c>
      <c r="F13" s="18" t="s">
        <v>88</v>
      </c>
      <c r="G13" s="19" t="s">
        <v>89</v>
      </c>
      <c r="H13" s="20"/>
    </row>
    <row r="14" customFormat="false" ht="18" hidden="false" customHeight="true" outlineLevel="0" collapsed="false">
      <c r="A14" s="15"/>
      <c r="B14" s="21"/>
      <c r="C14" s="21"/>
      <c r="D14" s="21"/>
      <c r="E14" s="21"/>
      <c r="F14" s="21"/>
      <c r="G14" s="22"/>
      <c r="H14" s="20"/>
    </row>
    <row r="15" customFormat="false" ht="19.5" hidden="false" customHeight="true" outlineLevel="0" collapsed="false">
      <c r="A15" s="23" t="s">
        <v>90</v>
      </c>
      <c r="B15" s="23"/>
      <c r="C15" s="23"/>
      <c r="D15" s="23"/>
      <c r="E15" s="23"/>
      <c r="F15" s="23"/>
      <c r="G15" s="23"/>
      <c r="H15" s="20"/>
    </row>
    <row r="16" customFormat="false" ht="18" hidden="false" customHeight="true" outlineLevel="0" collapsed="false">
      <c r="A16" s="24" t="s">
        <v>91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92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93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94</v>
      </c>
      <c r="B19" s="24"/>
      <c r="C19" s="24"/>
      <c r="D19" s="24"/>
      <c r="E19" s="24"/>
      <c r="F19" s="24"/>
      <c r="G19" s="24"/>
      <c r="H19" s="20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8"/>
      <c r="G20" s="19"/>
      <c r="H20" s="20"/>
    </row>
    <row r="21" customFormat="false" ht="15" hidden="false" customHeight="false" outlineLevel="0" collapsed="false">
      <c r="A21" s="15"/>
      <c r="B21" s="16"/>
      <c r="C21" s="25"/>
      <c r="D21" s="21"/>
      <c r="E21" s="21"/>
      <c r="F21" s="21"/>
      <c r="G21" s="22"/>
      <c r="H21" s="20"/>
    </row>
    <row r="22" customFormat="false" ht="15" hidden="false" customHeight="false" outlineLevel="0" collapsed="false">
      <c r="A22" s="15"/>
      <c r="B22" s="16"/>
      <c r="C22" s="26"/>
      <c r="D22" s="26"/>
      <c r="E22" s="26"/>
      <c r="F22" s="26"/>
      <c r="G22" s="26"/>
      <c r="H22" s="20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8"/>
      <c r="G23" s="19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5:G15"/>
    <mergeCell ref="A16:G16"/>
    <mergeCell ref="A17:G17"/>
    <mergeCell ref="A18:G18"/>
    <mergeCell ref="A19:G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1" activeCellId="0" sqref="C2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107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-415.81</v>
      </c>
      <c r="J2" s="12" t="s">
        <v>52</v>
      </c>
      <c r="K2" s="13" t="n">
        <f aca="false">SUMIF($A:$A,"&lt;&gt;",$D:$D)</f>
        <v>-415.81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'07-Jul'!$K$3+$K$2</f>
        <v>-6221.44</v>
      </c>
    </row>
    <row r="4" customFormat="false" ht="18" hidden="false" customHeight="true" outlineLevel="0" collapsed="false">
      <c r="A4" s="15" t="n">
        <v>46235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46235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46249</v>
      </c>
      <c r="B6" s="16" t="s">
        <v>60</v>
      </c>
      <c r="C6" s="16" t="s">
        <v>74</v>
      </c>
      <c r="D6" s="17" t="n">
        <v>218</v>
      </c>
      <c r="E6" s="16" t="s">
        <v>62</v>
      </c>
      <c r="F6" s="18" t="s">
        <v>18</v>
      </c>
      <c r="G6" s="19" t="s">
        <v>75</v>
      </c>
      <c r="H6" s="20"/>
    </row>
    <row r="7" customFormat="false" ht="18" hidden="false" customHeight="true" outlineLevel="0" collapsed="false">
      <c r="A7" s="15" t="n">
        <v>46249</v>
      </c>
      <c r="B7" s="16" t="s">
        <v>60</v>
      </c>
      <c r="C7" s="16" t="s">
        <v>76</v>
      </c>
      <c r="D7" s="17" t="n">
        <v>545</v>
      </c>
      <c r="E7" s="16" t="s">
        <v>62</v>
      </c>
      <c r="F7" s="18" t="s">
        <v>18</v>
      </c>
      <c r="G7" s="19" t="s">
        <v>77</v>
      </c>
      <c r="H7" s="20"/>
    </row>
    <row r="8" customFormat="false" ht="18" hidden="false" customHeight="true" outlineLevel="0" collapsed="false">
      <c r="A8" s="15" t="n">
        <v>46249</v>
      </c>
      <c r="B8" s="16" t="s">
        <v>78</v>
      </c>
      <c r="C8" s="16" t="s">
        <v>79</v>
      </c>
      <c r="D8" s="17" t="n">
        <v>31</v>
      </c>
      <c r="E8" s="16" t="s">
        <v>62</v>
      </c>
      <c r="F8" s="18" t="s">
        <v>20</v>
      </c>
      <c r="G8" s="19" t="s">
        <v>80</v>
      </c>
      <c r="H8" s="20"/>
    </row>
    <row r="9" customFormat="false" ht="18" hidden="false" customHeight="true" outlineLevel="0" collapsed="false">
      <c r="A9" s="15" t="n">
        <v>46249</v>
      </c>
      <c r="B9" s="16" t="s">
        <v>78</v>
      </c>
      <c r="C9" s="16" t="s">
        <v>81</v>
      </c>
      <c r="D9" s="17" t="n">
        <v>14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46249</v>
      </c>
      <c r="B10" s="16" t="s">
        <v>78</v>
      </c>
      <c r="C10" s="16" t="s">
        <v>82</v>
      </c>
      <c r="D10" s="17" t="n">
        <v>120</v>
      </c>
      <c r="E10" s="16" t="s">
        <v>62</v>
      </c>
      <c r="F10" s="18" t="s">
        <v>20</v>
      </c>
      <c r="G10" s="19" t="s">
        <v>83</v>
      </c>
      <c r="H10" s="20"/>
    </row>
    <row r="11" customFormat="false" ht="18" hidden="false" customHeight="true" outlineLevel="0" collapsed="false">
      <c r="A11" s="15" t="n">
        <v>46249</v>
      </c>
      <c r="B11" s="16" t="s">
        <v>78</v>
      </c>
      <c r="C11" s="16" t="s">
        <v>84</v>
      </c>
      <c r="D11" s="17" t="n">
        <v>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46261</v>
      </c>
      <c r="B12" s="16" t="s">
        <v>85</v>
      </c>
      <c r="C12" s="16" t="s">
        <v>86</v>
      </c>
      <c r="D12" s="17" t="n">
        <v>-2380</v>
      </c>
      <c r="E12" s="16" t="s">
        <v>87</v>
      </c>
      <c r="F12" s="18" t="s">
        <v>88</v>
      </c>
      <c r="G12" s="19" t="s">
        <v>89</v>
      </c>
      <c r="H12" s="20"/>
    </row>
    <row r="13" customFormat="false" ht="18" hidden="false" customHeight="true" outlineLevel="0" collapsed="false">
      <c r="A13" s="15" t="n">
        <v>46265</v>
      </c>
      <c r="B13" s="16" t="s">
        <v>96</v>
      </c>
      <c r="C13" s="16" t="s">
        <v>97</v>
      </c>
      <c r="D13" s="17" t="n">
        <v>236.19</v>
      </c>
      <c r="E13" s="16" t="s">
        <v>62</v>
      </c>
      <c r="F13" s="18" t="s">
        <v>18</v>
      </c>
      <c r="G13" s="19" t="s">
        <v>98</v>
      </c>
      <c r="H13" s="20"/>
    </row>
    <row r="14" customFormat="false" ht="18" hidden="false" customHeight="true" outlineLevel="0" collapsed="false">
      <c r="A14" s="15"/>
      <c r="B14" s="16"/>
      <c r="C14" s="16"/>
      <c r="D14" s="17"/>
      <c r="E14" s="16"/>
      <c r="F14" s="18"/>
      <c r="G14" s="19"/>
      <c r="H14" s="20"/>
    </row>
    <row r="15" customFormat="false" ht="18" hidden="false" customHeight="true" outlineLevel="0" collapsed="false">
      <c r="A15" s="23" t="s">
        <v>90</v>
      </c>
      <c r="B15" s="21"/>
      <c r="C15" s="21"/>
      <c r="D15" s="21"/>
      <c r="E15" s="21"/>
      <c r="F15" s="21"/>
      <c r="G15" s="22"/>
      <c r="H15" s="20"/>
    </row>
    <row r="16" customFormat="false" ht="19.5" hidden="false" customHeight="true" outlineLevel="0" collapsed="false">
      <c r="A16" s="24" t="s">
        <v>91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92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93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94</v>
      </c>
      <c r="B19" s="24"/>
      <c r="C19" s="24"/>
      <c r="D19" s="24"/>
      <c r="E19" s="24"/>
      <c r="F19" s="24"/>
      <c r="G19" s="24"/>
      <c r="H19" s="20"/>
    </row>
    <row r="20" customFormat="false" ht="18" hidden="false" customHeight="true" outlineLevel="0" collapsed="false">
      <c r="A20" s="24"/>
      <c r="B20" s="24"/>
      <c r="C20" s="24"/>
      <c r="D20" s="24"/>
      <c r="E20" s="24"/>
      <c r="F20" s="24"/>
      <c r="G20" s="24"/>
      <c r="H20" s="20"/>
    </row>
    <row r="21" customFormat="false" ht="15" hidden="false" customHeight="false" outlineLevel="0" collapsed="false">
      <c r="A21" s="15"/>
      <c r="B21" s="16"/>
      <c r="C21" s="25"/>
      <c r="D21" s="27"/>
      <c r="E21" s="16"/>
      <c r="F21" s="18"/>
      <c r="G21" s="19"/>
      <c r="H21" s="20"/>
    </row>
    <row r="22" customFormat="false" ht="15" hidden="false" customHeight="false" outlineLevel="0" collapsed="false">
      <c r="A22" s="15"/>
      <c r="B22" s="16"/>
      <c r="C22" s="16"/>
      <c r="D22" s="21"/>
      <c r="E22" s="21"/>
      <c r="F22" s="21"/>
      <c r="G22" s="22"/>
      <c r="H22" s="20"/>
    </row>
    <row r="23" customFormat="false" ht="15" hidden="false" customHeight="false" outlineLevel="0" collapsed="false">
      <c r="A23" s="15"/>
      <c r="B23" s="16"/>
      <c r="C23" s="26"/>
      <c r="D23" s="26"/>
      <c r="E23" s="26"/>
      <c r="F23" s="26"/>
      <c r="G23" s="26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6:G16"/>
    <mergeCell ref="A17:G17"/>
    <mergeCell ref="A18:G18"/>
    <mergeCell ref="A19:G19"/>
    <mergeCell ref="A20:G20"/>
    <mergeCell ref="C23:G23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1" activeCellId="0" sqref="C2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108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-498</v>
      </c>
      <c r="J2" s="12" t="s">
        <v>52</v>
      </c>
      <c r="K2" s="13" t="n">
        <f aca="false">SUMIF($A:$A,"&lt;&gt;",$D:$D)</f>
        <v>-498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'08-Aug'!$K$3+$K$2</f>
        <v>-6719.44</v>
      </c>
    </row>
    <row r="4" customFormat="false" ht="18" hidden="false" customHeight="true" outlineLevel="0" collapsed="false">
      <c r="A4" s="15" t="n">
        <v>46266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46266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46266</v>
      </c>
      <c r="B6" s="16" t="s">
        <v>67</v>
      </c>
      <c r="C6" s="16" t="s">
        <v>68</v>
      </c>
      <c r="D6" s="17" t="n">
        <v>154</v>
      </c>
      <c r="E6" s="16" t="s">
        <v>62</v>
      </c>
      <c r="F6" s="18" t="s">
        <v>20</v>
      </c>
      <c r="G6" s="19" t="s">
        <v>69</v>
      </c>
      <c r="H6" s="20"/>
    </row>
    <row r="7" customFormat="false" ht="18" hidden="false" customHeight="true" outlineLevel="0" collapsed="false">
      <c r="A7" s="15" t="n">
        <v>46280</v>
      </c>
      <c r="B7" s="16" t="s">
        <v>60</v>
      </c>
      <c r="C7" s="16" t="s">
        <v>74</v>
      </c>
      <c r="D7" s="17" t="n">
        <v>218</v>
      </c>
      <c r="E7" s="16" t="s">
        <v>62</v>
      </c>
      <c r="F7" s="18" t="s">
        <v>18</v>
      </c>
      <c r="G7" s="19" t="s">
        <v>75</v>
      </c>
      <c r="H7" s="20"/>
    </row>
    <row r="8" customFormat="false" ht="18" hidden="false" customHeight="true" outlineLevel="0" collapsed="false">
      <c r="A8" s="15" t="n">
        <v>46280</v>
      </c>
      <c r="B8" s="16" t="s">
        <v>60</v>
      </c>
      <c r="C8" s="16" t="s">
        <v>76</v>
      </c>
      <c r="D8" s="17" t="n">
        <v>545</v>
      </c>
      <c r="E8" s="16" t="s">
        <v>62</v>
      </c>
      <c r="F8" s="18" t="s">
        <v>18</v>
      </c>
      <c r="G8" s="19" t="s">
        <v>77</v>
      </c>
      <c r="H8" s="20"/>
    </row>
    <row r="9" customFormat="false" ht="18" hidden="false" customHeight="true" outlineLevel="0" collapsed="false">
      <c r="A9" s="15" t="n">
        <v>46280</v>
      </c>
      <c r="B9" s="16" t="s">
        <v>78</v>
      </c>
      <c r="C9" s="16" t="s">
        <v>79</v>
      </c>
      <c r="D9" s="17" t="n">
        <v>31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46280</v>
      </c>
      <c r="B10" s="16" t="s">
        <v>78</v>
      </c>
      <c r="C10" s="16" t="s">
        <v>81</v>
      </c>
      <c r="D10" s="17" t="n">
        <v>14</v>
      </c>
      <c r="E10" s="16" t="s">
        <v>62</v>
      </c>
      <c r="F10" s="18" t="s">
        <v>20</v>
      </c>
      <c r="G10" s="19" t="s">
        <v>80</v>
      </c>
      <c r="H10" s="20"/>
    </row>
    <row r="11" customFormat="false" ht="18" hidden="false" customHeight="true" outlineLevel="0" collapsed="false">
      <c r="A11" s="15" t="n">
        <v>46280</v>
      </c>
      <c r="B11" s="16" t="s">
        <v>78</v>
      </c>
      <c r="C11" s="16" t="s">
        <v>82</v>
      </c>
      <c r="D11" s="17" t="n">
        <v>120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46280</v>
      </c>
      <c r="B12" s="16" t="s">
        <v>78</v>
      </c>
      <c r="C12" s="16" t="s">
        <v>84</v>
      </c>
      <c r="D12" s="17" t="n">
        <v>20</v>
      </c>
      <c r="E12" s="16" t="s">
        <v>62</v>
      </c>
      <c r="F12" s="18" t="s">
        <v>20</v>
      </c>
      <c r="G12" s="19" t="s">
        <v>83</v>
      </c>
      <c r="H12" s="20"/>
    </row>
    <row r="13" customFormat="false" ht="18" hidden="false" customHeight="true" outlineLevel="0" collapsed="false">
      <c r="A13" s="15" t="n">
        <v>46292</v>
      </c>
      <c r="B13" s="16" t="s">
        <v>85</v>
      </c>
      <c r="C13" s="16" t="s">
        <v>86</v>
      </c>
      <c r="D13" s="17" t="n">
        <v>-2380</v>
      </c>
      <c r="E13" s="16" t="s">
        <v>87</v>
      </c>
      <c r="F13" s="18" t="s">
        <v>88</v>
      </c>
      <c r="G13" s="19" t="s">
        <v>89</v>
      </c>
      <c r="H13" s="20"/>
    </row>
    <row r="14" customFormat="false" ht="18" hidden="false" customHeight="true" outlineLevel="0" collapsed="false">
      <c r="A14" s="15"/>
      <c r="B14" s="21"/>
      <c r="C14" s="21"/>
      <c r="D14" s="21"/>
      <c r="E14" s="21"/>
      <c r="F14" s="21"/>
      <c r="G14" s="22"/>
      <c r="H14" s="20"/>
    </row>
    <row r="15" customFormat="false" ht="19.5" hidden="false" customHeight="true" outlineLevel="0" collapsed="false">
      <c r="A15" s="23" t="s">
        <v>90</v>
      </c>
      <c r="B15" s="23"/>
      <c r="C15" s="23"/>
      <c r="D15" s="23"/>
      <c r="E15" s="23"/>
      <c r="F15" s="23"/>
      <c r="G15" s="23"/>
      <c r="H15" s="20"/>
    </row>
    <row r="16" customFormat="false" ht="18" hidden="false" customHeight="true" outlineLevel="0" collapsed="false">
      <c r="A16" s="24" t="s">
        <v>91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92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93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94</v>
      </c>
      <c r="B19" s="24"/>
      <c r="C19" s="24"/>
      <c r="D19" s="24"/>
      <c r="E19" s="24"/>
      <c r="F19" s="24"/>
      <c r="G19" s="24"/>
      <c r="H19" s="20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8"/>
      <c r="G20" s="19"/>
      <c r="H20" s="20"/>
    </row>
    <row r="21" customFormat="false" ht="15" hidden="false" customHeight="false" outlineLevel="0" collapsed="false">
      <c r="A21" s="15"/>
      <c r="B21" s="16"/>
      <c r="C21" s="25"/>
      <c r="D21" s="21"/>
      <c r="E21" s="21"/>
      <c r="F21" s="21"/>
      <c r="G21" s="22"/>
      <c r="H21" s="20"/>
    </row>
    <row r="22" customFormat="false" ht="15" hidden="false" customHeight="false" outlineLevel="0" collapsed="false">
      <c r="A22" s="15"/>
      <c r="B22" s="16"/>
      <c r="C22" s="26"/>
      <c r="D22" s="26"/>
      <c r="E22" s="26"/>
      <c r="F22" s="26"/>
      <c r="G22" s="26"/>
      <c r="H22" s="20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8"/>
      <c r="G23" s="19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5:G15"/>
    <mergeCell ref="A16:G16"/>
    <mergeCell ref="A17:G17"/>
    <mergeCell ref="A18:G18"/>
    <mergeCell ref="A19:G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4" activeCellId="0" sqref="A14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109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-652</v>
      </c>
      <c r="J2" s="12" t="s">
        <v>52</v>
      </c>
      <c r="K2" s="13" t="n">
        <f aca="false">SUMIF($A:$A,"&lt;&gt;",$D:$D)</f>
        <v>-652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'09-Sep'!$K$3+$K$2</f>
        <v>-7371.44</v>
      </c>
    </row>
    <row r="4" customFormat="false" ht="18" hidden="false" customHeight="true" outlineLevel="0" collapsed="false">
      <c r="A4" s="15" t="n">
        <v>46296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46296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46310</v>
      </c>
      <c r="B6" s="16" t="s">
        <v>60</v>
      </c>
      <c r="C6" s="16" t="s">
        <v>74</v>
      </c>
      <c r="D6" s="17" t="n">
        <v>218</v>
      </c>
      <c r="E6" s="16" t="s">
        <v>62</v>
      </c>
      <c r="F6" s="18" t="s">
        <v>18</v>
      </c>
      <c r="G6" s="19" t="s">
        <v>75</v>
      </c>
      <c r="H6" s="20"/>
    </row>
    <row r="7" customFormat="false" ht="18" hidden="false" customHeight="true" outlineLevel="0" collapsed="false">
      <c r="A7" s="15" t="n">
        <v>46310</v>
      </c>
      <c r="B7" s="16" t="s">
        <v>60</v>
      </c>
      <c r="C7" s="16" t="s">
        <v>76</v>
      </c>
      <c r="D7" s="17" t="n">
        <v>545</v>
      </c>
      <c r="E7" s="16" t="s">
        <v>62</v>
      </c>
      <c r="F7" s="18" t="s">
        <v>18</v>
      </c>
      <c r="G7" s="19" t="s">
        <v>77</v>
      </c>
      <c r="H7" s="20"/>
    </row>
    <row r="8" customFormat="false" ht="18" hidden="false" customHeight="true" outlineLevel="0" collapsed="false">
      <c r="A8" s="15" t="n">
        <v>46310</v>
      </c>
      <c r="B8" s="16" t="s">
        <v>78</v>
      </c>
      <c r="C8" s="16" t="s">
        <v>79</v>
      </c>
      <c r="D8" s="17" t="n">
        <v>31</v>
      </c>
      <c r="E8" s="16" t="s">
        <v>62</v>
      </c>
      <c r="F8" s="18" t="s">
        <v>20</v>
      </c>
      <c r="G8" s="19" t="s">
        <v>80</v>
      </c>
      <c r="H8" s="20"/>
    </row>
    <row r="9" customFormat="false" ht="18" hidden="false" customHeight="true" outlineLevel="0" collapsed="false">
      <c r="A9" s="15" t="n">
        <v>46310</v>
      </c>
      <c r="B9" s="16" t="s">
        <v>78</v>
      </c>
      <c r="C9" s="16" t="s">
        <v>81</v>
      </c>
      <c r="D9" s="17" t="n">
        <v>14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46310</v>
      </c>
      <c r="B10" s="16" t="s">
        <v>78</v>
      </c>
      <c r="C10" s="16" t="s">
        <v>82</v>
      </c>
      <c r="D10" s="17" t="n">
        <v>120</v>
      </c>
      <c r="E10" s="16" t="s">
        <v>62</v>
      </c>
      <c r="F10" s="18" t="s">
        <v>20</v>
      </c>
      <c r="G10" s="19" t="s">
        <v>83</v>
      </c>
      <c r="H10" s="20"/>
    </row>
    <row r="11" customFormat="false" ht="18" hidden="false" customHeight="true" outlineLevel="0" collapsed="false">
      <c r="A11" s="15" t="n">
        <v>46310</v>
      </c>
      <c r="B11" s="16" t="s">
        <v>78</v>
      </c>
      <c r="C11" s="16" t="s">
        <v>84</v>
      </c>
      <c r="D11" s="17" t="n">
        <v>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46322</v>
      </c>
      <c r="B12" s="16" t="s">
        <v>85</v>
      </c>
      <c r="C12" s="16" t="s">
        <v>86</v>
      </c>
      <c r="D12" s="17" t="n">
        <v>-2380</v>
      </c>
      <c r="E12" s="16" t="s">
        <v>87</v>
      </c>
      <c r="F12" s="18" t="s">
        <v>88</v>
      </c>
      <c r="G12" s="19" t="s">
        <v>89</v>
      </c>
      <c r="H12" s="20"/>
    </row>
    <row r="13" customFormat="false" ht="18" hidden="false" customHeight="true" outlineLevel="0" collapsed="false">
      <c r="A13" s="15"/>
      <c r="B13" s="16"/>
      <c r="C13" s="16"/>
      <c r="D13" s="17"/>
      <c r="E13" s="16"/>
      <c r="F13" s="18"/>
      <c r="G13" s="19"/>
      <c r="H13" s="20"/>
    </row>
    <row r="14" customFormat="false" ht="18" hidden="false" customHeight="true" outlineLevel="0" collapsed="false">
      <c r="A14" s="23" t="s">
        <v>90</v>
      </c>
      <c r="B14" s="23"/>
      <c r="C14" s="23"/>
      <c r="D14" s="23"/>
      <c r="E14" s="23"/>
      <c r="F14" s="23"/>
      <c r="G14" s="23"/>
      <c r="H14" s="20"/>
    </row>
    <row r="15" customFormat="false" ht="19.5" hidden="false" customHeight="true" outlineLevel="0" collapsed="false">
      <c r="A15" s="24" t="s">
        <v>91</v>
      </c>
      <c r="B15" s="24"/>
      <c r="C15" s="24"/>
      <c r="D15" s="24"/>
      <c r="E15" s="24"/>
      <c r="F15" s="24"/>
      <c r="G15" s="24"/>
      <c r="H15" s="20"/>
    </row>
    <row r="16" customFormat="false" ht="18" hidden="false" customHeight="true" outlineLevel="0" collapsed="false">
      <c r="A16" s="24" t="s">
        <v>92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93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94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/>
      <c r="B19" s="24"/>
      <c r="C19" s="24"/>
      <c r="D19" s="24"/>
      <c r="E19" s="24"/>
      <c r="F19" s="24"/>
      <c r="G19" s="24"/>
      <c r="H19" s="20"/>
    </row>
    <row r="20" customFormat="false" ht="15" hidden="false" customHeight="false" outlineLevel="0" collapsed="false">
      <c r="A20" s="15"/>
      <c r="B20" s="16"/>
      <c r="C20" s="25"/>
      <c r="D20" s="27"/>
      <c r="E20" s="16"/>
      <c r="F20" s="18"/>
      <c r="G20" s="19"/>
      <c r="H20" s="20"/>
    </row>
    <row r="21" customFormat="false" ht="15" hidden="false" customHeight="false" outlineLevel="0" collapsed="false">
      <c r="A21" s="15"/>
      <c r="B21" s="16"/>
      <c r="C21" s="16"/>
      <c r="D21" s="21"/>
      <c r="E21" s="21"/>
      <c r="F21" s="21"/>
      <c r="G21" s="22"/>
      <c r="H21" s="20"/>
    </row>
    <row r="22" customFormat="false" ht="15" hidden="false" customHeight="false" outlineLevel="0" collapsed="false">
      <c r="A22" s="15"/>
      <c r="B22" s="16"/>
      <c r="C22" s="26"/>
      <c r="D22" s="26"/>
      <c r="E22" s="26"/>
      <c r="F22" s="26"/>
      <c r="G22" s="26"/>
      <c r="H22" s="20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8"/>
      <c r="G23" s="19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8">
    <mergeCell ref="A1:G1"/>
    <mergeCell ref="A14:G14"/>
    <mergeCell ref="A15:G15"/>
    <mergeCell ref="A16:G16"/>
    <mergeCell ref="A17:G17"/>
    <mergeCell ref="A18:G18"/>
    <mergeCell ref="A19:G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2" activeCellId="0" sqref="C22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110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-261.81</v>
      </c>
      <c r="J2" s="12" t="s">
        <v>52</v>
      </c>
      <c r="K2" s="13" t="n">
        <f aca="false">SUMIF($A:$A,"&lt;&gt;",$D:$D)</f>
        <v>-261.81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'10-Oct'!$K$3+$K$2</f>
        <v>-7633.25</v>
      </c>
    </row>
    <row r="4" customFormat="false" ht="18" hidden="false" customHeight="true" outlineLevel="0" collapsed="false">
      <c r="A4" s="15" t="n">
        <v>46327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46327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46327</v>
      </c>
      <c r="B6" s="16" t="s">
        <v>67</v>
      </c>
      <c r="C6" s="16" t="s">
        <v>68</v>
      </c>
      <c r="D6" s="17" t="n">
        <v>154</v>
      </c>
      <c r="E6" s="16" t="s">
        <v>62</v>
      </c>
      <c r="F6" s="18" t="s">
        <v>20</v>
      </c>
      <c r="G6" s="19" t="s">
        <v>69</v>
      </c>
      <c r="H6" s="20"/>
    </row>
    <row r="7" customFormat="false" ht="18" hidden="false" customHeight="true" outlineLevel="0" collapsed="false">
      <c r="A7" s="15" t="n">
        <v>46341</v>
      </c>
      <c r="B7" s="16" t="s">
        <v>60</v>
      </c>
      <c r="C7" s="16" t="s">
        <v>74</v>
      </c>
      <c r="D7" s="17" t="n">
        <v>218</v>
      </c>
      <c r="E7" s="16" t="s">
        <v>62</v>
      </c>
      <c r="F7" s="18" t="s">
        <v>18</v>
      </c>
      <c r="G7" s="19" t="s">
        <v>75</v>
      </c>
      <c r="H7" s="20"/>
    </row>
    <row r="8" customFormat="false" ht="18" hidden="false" customHeight="true" outlineLevel="0" collapsed="false">
      <c r="A8" s="15" t="n">
        <v>46341</v>
      </c>
      <c r="B8" s="16" t="s">
        <v>60</v>
      </c>
      <c r="C8" s="16" t="s">
        <v>76</v>
      </c>
      <c r="D8" s="17" t="n">
        <v>545</v>
      </c>
      <c r="E8" s="16" t="s">
        <v>62</v>
      </c>
      <c r="F8" s="18" t="s">
        <v>18</v>
      </c>
      <c r="G8" s="19" t="s">
        <v>77</v>
      </c>
      <c r="H8" s="20"/>
    </row>
    <row r="9" customFormat="false" ht="18" hidden="false" customHeight="true" outlineLevel="0" collapsed="false">
      <c r="A9" s="15" t="n">
        <v>46341</v>
      </c>
      <c r="B9" s="16" t="s">
        <v>78</v>
      </c>
      <c r="C9" s="16" t="s">
        <v>79</v>
      </c>
      <c r="D9" s="17" t="n">
        <v>31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46341</v>
      </c>
      <c r="B10" s="16" t="s">
        <v>78</v>
      </c>
      <c r="C10" s="16" t="s">
        <v>81</v>
      </c>
      <c r="D10" s="17" t="n">
        <v>14</v>
      </c>
      <c r="E10" s="16" t="s">
        <v>62</v>
      </c>
      <c r="F10" s="18" t="s">
        <v>20</v>
      </c>
      <c r="G10" s="19" t="s">
        <v>80</v>
      </c>
      <c r="H10" s="20"/>
    </row>
    <row r="11" customFormat="false" ht="18" hidden="false" customHeight="true" outlineLevel="0" collapsed="false">
      <c r="A11" s="15" t="n">
        <v>46341</v>
      </c>
      <c r="B11" s="16" t="s">
        <v>78</v>
      </c>
      <c r="C11" s="16" t="s">
        <v>82</v>
      </c>
      <c r="D11" s="17" t="n">
        <v>120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46341</v>
      </c>
      <c r="B12" s="16" t="s">
        <v>78</v>
      </c>
      <c r="C12" s="16" t="s">
        <v>84</v>
      </c>
      <c r="D12" s="17" t="n">
        <v>20</v>
      </c>
      <c r="E12" s="16" t="s">
        <v>62</v>
      </c>
      <c r="F12" s="18" t="s">
        <v>20</v>
      </c>
      <c r="G12" s="19" t="s">
        <v>83</v>
      </c>
      <c r="H12" s="20"/>
    </row>
    <row r="13" customFormat="false" ht="18" hidden="false" customHeight="true" outlineLevel="0" collapsed="false">
      <c r="A13" s="15" t="n">
        <v>46353</v>
      </c>
      <c r="B13" s="16" t="s">
        <v>85</v>
      </c>
      <c r="C13" s="16" t="s">
        <v>86</v>
      </c>
      <c r="D13" s="17" t="n">
        <v>-2380</v>
      </c>
      <c r="E13" s="16" t="s">
        <v>87</v>
      </c>
      <c r="F13" s="18" t="s">
        <v>88</v>
      </c>
      <c r="G13" s="19" t="s">
        <v>89</v>
      </c>
      <c r="H13" s="20"/>
    </row>
    <row r="14" customFormat="false" ht="18" hidden="false" customHeight="true" outlineLevel="0" collapsed="false">
      <c r="A14" s="15" t="n">
        <v>46356</v>
      </c>
      <c r="B14" s="16" t="s">
        <v>96</v>
      </c>
      <c r="C14" s="16" t="s">
        <v>97</v>
      </c>
      <c r="D14" s="17" t="n">
        <v>236.19</v>
      </c>
      <c r="E14" s="16" t="s">
        <v>62</v>
      </c>
      <c r="F14" s="18" t="s">
        <v>18</v>
      </c>
      <c r="G14" s="19" t="s">
        <v>98</v>
      </c>
      <c r="H14" s="20"/>
    </row>
    <row r="15" customFormat="false" ht="18" hidden="false" customHeight="true" outlineLevel="0" collapsed="false">
      <c r="A15" s="15"/>
      <c r="B15" s="21"/>
      <c r="C15" s="21"/>
      <c r="D15" s="21"/>
      <c r="E15" s="21"/>
      <c r="F15" s="21"/>
      <c r="G15" s="22"/>
      <c r="H15" s="20"/>
    </row>
    <row r="16" customFormat="false" ht="19.5" hidden="false" customHeight="true" outlineLevel="0" collapsed="false">
      <c r="A16" s="23" t="s">
        <v>90</v>
      </c>
      <c r="B16" s="23"/>
      <c r="C16" s="23"/>
      <c r="D16" s="23"/>
      <c r="E16" s="23"/>
      <c r="F16" s="23"/>
      <c r="G16" s="23"/>
      <c r="H16" s="20"/>
    </row>
    <row r="17" customFormat="false" ht="18" hidden="false" customHeight="true" outlineLevel="0" collapsed="false">
      <c r="A17" s="24" t="s">
        <v>91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92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93</v>
      </c>
      <c r="B19" s="24"/>
      <c r="C19" s="24"/>
      <c r="D19" s="24"/>
      <c r="E19" s="24"/>
      <c r="F19" s="24"/>
      <c r="G19" s="24"/>
      <c r="H19" s="20"/>
    </row>
    <row r="20" customFormat="false" ht="18" hidden="false" customHeight="true" outlineLevel="0" collapsed="false">
      <c r="A20" s="24" t="s">
        <v>94</v>
      </c>
      <c r="B20" s="24"/>
      <c r="C20" s="24"/>
      <c r="D20" s="24"/>
      <c r="E20" s="24"/>
      <c r="F20" s="24"/>
      <c r="G20" s="24"/>
      <c r="H20" s="20"/>
    </row>
    <row r="21" customFormat="false" ht="15" hidden="false" customHeight="false" outlineLevel="0" collapsed="false">
      <c r="A21" s="15"/>
      <c r="B21" s="16"/>
      <c r="C21" s="16"/>
      <c r="D21" s="17"/>
      <c r="E21" s="16"/>
      <c r="F21" s="18"/>
      <c r="G21" s="19"/>
      <c r="H21" s="20"/>
    </row>
    <row r="22" customFormat="false" ht="15" hidden="false" customHeight="false" outlineLevel="0" collapsed="false">
      <c r="A22" s="15"/>
      <c r="B22" s="16"/>
      <c r="C22" s="25"/>
      <c r="D22" s="21"/>
      <c r="E22" s="21"/>
      <c r="F22" s="21"/>
      <c r="G22" s="22"/>
      <c r="H22" s="20"/>
    </row>
    <row r="23" customFormat="false" ht="15" hidden="false" customHeight="false" outlineLevel="0" collapsed="false">
      <c r="A23" s="15"/>
      <c r="B23" s="16"/>
      <c r="C23" s="26"/>
      <c r="D23" s="26"/>
      <c r="E23" s="26"/>
      <c r="F23" s="26"/>
      <c r="G23" s="26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6:G16"/>
    <mergeCell ref="A17:G17"/>
    <mergeCell ref="A18:G18"/>
    <mergeCell ref="A19:G19"/>
    <mergeCell ref="A20:G20"/>
    <mergeCell ref="C23:G23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3" activeCellId="0" sqref="G1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1" t="s">
        <v>111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F2" s="12" t="s">
        <v>52</v>
      </c>
      <c r="G2" s="13" t="n">
        <f aca="false">SUMIF($A:$A,"&lt;&gt;",$D:$D)</f>
        <v>-3032</v>
      </c>
      <c r="J2" s="12" t="s">
        <v>52</v>
      </c>
      <c r="K2" s="13" t="n">
        <f aca="false">SUMIF($A:$A,"&lt;&gt;",$D:$D)</f>
        <v>-3032</v>
      </c>
    </row>
    <row r="3" customFormat="false" ht="24" hidden="false" customHeight="true" outlineLevel="0" collapsed="false">
      <c r="A3" s="14" t="s">
        <v>53</v>
      </c>
      <c r="B3" s="14" t="s">
        <v>54</v>
      </c>
      <c r="C3" s="14" t="s">
        <v>55</v>
      </c>
      <c r="D3" s="14" t="s">
        <v>56</v>
      </c>
      <c r="E3" s="14" t="s">
        <v>57</v>
      </c>
      <c r="F3" s="14" t="s">
        <v>16</v>
      </c>
      <c r="G3" s="14" t="s">
        <v>58</v>
      </c>
      <c r="H3" s="14" t="s">
        <v>29</v>
      </c>
      <c r="J3" s="12" t="s">
        <v>59</v>
      </c>
      <c r="K3" s="13" t="n">
        <f aca="false">'11-Nov'!$K$3+$K$2</f>
        <v>-10665.25</v>
      </c>
    </row>
    <row r="4" customFormat="false" ht="18" hidden="false" customHeight="true" outlineLevel="0" collapsed="false">
      <c r="A4" s="15" t="n">
        <v>46357</v>
      </c>
      <c r="B4" s="16" t="s">
        <v>60</v>
      </c>
      <c r="C4" s="16" t="s">
        <v>61</v>
      </c>
      <c r="D4" s="17" t="n">
        <v>742</v>
      </c>
      <c r="E4" s="16" t="s">
        <v>62</v>
      </c>
      <c r="F4" s="18" t="s">
        <v>18</v>
      </c>
      <c r="G4" s="19" t="s">
        <v>63</v>
      </c>
      <c r="H4" s="20"/>
    </row>
    <row r="5" customFormat="false" ht="18" hidden="false" customHeight="true" outlineLevel="0" collapsed="false">
      <c r="A5" s="15" t="n">
        <v>46357</v>
      </c>
      <c r="B5" s="16" t="s">
        <v>64</v>
      </c>
      <c r="C5" s="16" t="s">
        <v>65</v>
      </c>
      <c r="D5" s="17" t="n">
        <v>38</v>
      </c>
      <c r="E5" s="16" t="s">
        <v>62</v>
      </c>
      <c r="F5" s="18" t="s">
        <v>20</v>
      </c>
      <c r="G5" s="19" t="s">
        <v>66</v>
      </c>
      <c r="H5" s="20"/>
    </row>
    <row r="6" customFormat="false" ht="18" hidden="false" customHeight="true" outlineLevel="0" collapsed="false">
      <c r="A6" s="15" t="n">
        <v>46371</v>
      </c>
      <c r="B6" s="16" t="s">
        <v>60</v>
      </c>
      <c r="C6" s="16" t="s">
        <v>74</v>
      </c>
      <c r="D6" s="17" t="n">
        <v>218</v>
      </c>
      <c r="E6" s="16" t="s">
        <v>62</v>
      </c>
      <c r="F6" s="18" t="s">
        <v>18</v>
      </c>
      <c r="G6" s="19" t="s">
        <v>75</v>
      </c>
      <c r="H6" s="20"/>
    </row>
    <row r="7" customFormat="false" ht="18" hidden="false" customHeight="true" outlineLevel="0" collapsed="false">
      <c r="A7" s="15" t="n">
        <v>46371</v>
      </c>
      <c r="B7" s="16" t="s">
        <v>60</v>
      </c>
      <c r="C7" s="16" t="s">
        <v>76</v>
      </c>
      <c r="D7" s="17" t="n">
        <v>545</v>
      </c>
      <c r="E7" s="16" t="s">
        <v>62</v>
      </c>
      <c r="F7" s="18" t="s">
        <v>18</v>
      </c>
      <c r="G7" s="19" t="s">
        <v>77</v>
      </c>
      <c r="H7" s="20"/>
    </row>
    <row r="8" customFormat="false" ht="18" hidden="false" customHeight="true" outlineLevel="0" collapsed="false">
      <c r="A8" s="15" t="n">
        <v>46371</v>
      </c>
      <c r="B8" s="16" t="s">
        <v>78</v>
      </c>
      <c r="C8" s="16" t="s">
        <v>79</v>
      </c>
      <c r="D8" s="17" t="n">
        <v>31</v>
      </c>
      <c r="E8" s="16" t="s">
        <v>62</v>
      </c>
      <c r="F8" s="18" t="s">
        <v>20</v>
      </c>
      <c r="G8" s="19" t="s">
        <v>80</v>
      </c>
      <c r="H8" s="20"/>
    </row>
    <row r="9" customFormat="false" ht="18" hidden="false" customHeight="true" outlineLevel="0" collapsed="false">
      <c r="A9" s="15" t="n">
        <v>46371</v>
      </c>
      <c r="B9" s="16" t="s">
        <v>78</v>
      </c>
      <c r="C9" s="16" t="s">
        <v>81</v>
      </c>
      <c r="D9" s="17" t="n">
        <v>14</v>
      </c>
      <c r="E9" s="16" t="s">
        <v>62</v>
      </c>
      <c r="F9" s="18" t="s">
        <v>20</v>
      </c>
      <c r="G9" s="19" t="s">
        <v>80</v>
      </c>
      <c r="H9" s="20"/>
    </row>
    <row r="10" customFormat="false" ht="18" hidden="false" customHeight="true" outlineLevel="0" collapsed="false">
      <c r="A10" s="15" t="n">
        <v>46371</v>
      </c>
      <c r="B10" s="16" t="s">
        <v>78</v>
      </c>
      <c r="C10" s="16" t="s">
        <v>82</v>
      </c>
      <c r="D10" s="17" t="n">
        <v>120</v>
      </c>
      <c r="E10" s="16" t="s">
        <v>62</v>
      </c>
      <c r="F10" s="18" t="s">
        <v>20</v>
      </c>
      <c r="G10" s="19" t="s">
        <v>83</v>
      </c>
      <c r="H10" s="20"/>
    </row>
    <row r="11" customFormat="false" ht="18" hidden="false" customHeight="true" outlineLevel="0" collapsed="false">
      <c r="A11" s="15" t="n">
        <v>46371</v>
      </c>
      <c r="B11" s="16" t="s">
        <v>78</v>
      </c>
      <c r="C11" s="16" t="s">
        <v>84</v>
      </c>
      <c r="D11" s="17" t="n">
        <v>20</v>
      </c>
      <c r="E11" s="16" t="s">
        <v>62</v>
      </c>
      <c r="F11" s="18" t="s">
        <v>20</v>
      </c>
      <c r="G11" s="19" t="s">
        <v>83</v>
      </c>
      <c r="H11" s="20"/>
    </row>
    <row r="12" customFormat="false" ht="18" hidden="false" customHeight="true" outlineLevel="0" collapsed="false">
      <c r="A12" s="15" t="n">
        <v>46383</v>
      </c>
      <c r="B12" s="16" t="s">
        <v>85</v>
      </c>
      <c r="C12" s="16" t="s">
        <v>86</v>
      </c>
      <c r="D12" s="17" t="n">
        <v>-2380</v>
      </c>
      <c r="E12" s="16" t="s">
        <v>87</v>
      </c>
      <c r="F12" s="18" t="s">
        <v>88</v>
      </c>
      <c r="G12" s="19" t="s">
        <v>103</v>
      </c>
      <c r="H12" s="20"/>
    </row>
    <row r="13" customFormat="false" ht="18" hidden="false" customHeight="true" outlineLevel="0" collapsed="false">
      <c r="A13" s="15" t="n">
        <v>46383</v>
      </c>
      <c r="B13" s="16" t="s">
        <v>85</v>
      </c>
      <c r="C13" s="16" t="s">
        <v>112</v>
      </c>
      <c r="D13" s="17" t="n">
        <v>-2380</v>
      </c>
      <c r="E13" s="16" t="s">
        <v>87</v>
      </c>
      <c r="F13" s="18" t="s">
        <v>88</v>
      </c>
      <c r="G13" s="19" t="s">
        <v>113</v>
      </c>
      <c r="H13" s="20"/>
    </row>
    <row r="14" customFormat="false" ht="18" hidden="false" customHeight="true" outlineLevel="0" collapsed="false">
      <c r="A14" s="15"/>
      <c r="B14" s="21"/>
      <c r="C14" s="21"/>
      <c r="D14" s="21"/>
      <c r="E14" s="21"/>
      <c r="F14" s="21"/>
      <c r="G14" s="22"/>
      <c r="H14" s="20"/>
    </row>
    <row r="15" customFormat="false" ht="19.5" hidden="false" customHeight="true" outlineLevel="0" collapsed="false">
      <c r="A15" s="23" t="s">
        <v>90</v>
      </c>
      <c r="B15" s="23"/>
      <c r="C15" s="23"/>
      <c r="D15" s="23"/>
      <c r="E15" s="23"/>
      <c r="F15" s="23"/>
      <c r="G15" s="23"/>
      <c r="H15" s="20"/>
    </row>
    <row r="16" customFormat="false" ht="18" hidden="false" customHeight="true" outlineLevel="0" collapsed="false">
      <c r="A16" s="24" t="s">
        <v>91</v>
      </c>
      <c r="B16" s="24"/>
      <c r="C16" s="24"/>
      <c r="D16" s="24"/>
      <c r="E16" s="24"/>
      <c r="F16" s="24"/>
      <c r="G16" s="24"/>
      <c r="H16" s="20"/>
    </row>
    <row r="17" customFormat="false" ht="18" hidden="false" customHeight="true" outlineLevel="0" collapsed="false">
      <c r="A17" s="24" t="s">
        <v>92</v>
      </c>
      <c r="B17" s="24"/>
      <c r="C17" s="24"/>
      <c r="D17" s="24"/>
      <c r="E17" s="24"/>
      <c r="F17" s="24"/>
      <c r="G17" s="24"/>
      <c r="H17" s="20"/>
    </row>
    <row r="18" customFormat="false" ht="18" hidden="false" customHeight="true" outlineLevel="0" collapsed="false">
      <c r="A18" s="24" t="s">
        <v>93</v>
      </c>
      <c r="B18" s="24"/>
      <c r="C18" s="24"/>
      <c r="D18" s="24"/>
      <c r="E18" s="24"/>
      <c r="F18" s="24"/>
      <c r="G18" s="24"/>
      <c r="H18" s="20"/>
    </row>
    <row r="19" customFormat="false" ht="18" hidden="false" customHeight="true" outlineLevel="0" collapsed="false">
      <c r="A19" s="24" t="s">
        <v>94</v>
      </c>
      <c r="B19" s="24"/>
      <c r="C19" s="24"/>
      <c r="D19" s="24"/>
      <c r="E19" s="24"/>
      <c r="F19" s="24"/>
      <c r="G19" s="24"/>
      <c r="H19" s="20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8"/>
      <c r="G20" s="19"/>
      <c r="H20" s="20"/>
    </row>
    <row r="21" customFormat="false" ht="15" hidden="false" customHeight="false" outlineLevel="0" collapsed="false">
      <c r="A21" s="15"/>
      <c r="B21" s="16"/>
      <c r="C21" s="25"/>
      <c r="D21" s="21"/>
      <c r="E21" s="21"/>
      <c r="F21" s="21"/>
      <c r="G21" s="22"/>
      <c r="H21" s="20"/>
    </row>
    <row r="22" customFormat="false" ht="15" hidden="false" customHeight="false" outlineLevel="0" collapsed="false">
      <c r="A22" s="15"/>
      <c r="B22" s="16"/>
      <c r="C22" s="26"/>
      <c r="D22" s="26"/>
      <c r="E22" s="26"/>
      <c r="F22" s="26"/>
      <c r="G22" s="26"/>
      <c r="H22" s="20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8"/>
      <c r="G23" s="19"/>
      <c r="H23" s="20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8"/>
      <c r="G24" s="19"/>
      <c r="H24" s="20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8"/>
      <c r="G25" s="19"/>
      <c r="H25" s="20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8"/>
      <c r="G26" s="19"/>
      <c r="H26" s="20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8"/>
      <c r="G27" s="19"/>
      <c r="H27" s="20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8"/>
      <c r="G28" s="19"/>
      <c r="H28" s="20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8"/>
      <c r="G29" s="19"/>
      <c r="H29" s="20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8"/>
      <c r="G30" s="19"/>
      <c r="H30" s="20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8"/>
      <c r="G31" s="19"/>
      <c r="H31" s="20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8"/>
      <c r="G32" s="19"/>
      <c r="H32" s="20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8"/>
      <c r="G33" s="19"/>
      <c r="H33" s="20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8"/>
      <c r="G34" s="19"/>
      <c r="H34" s="20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8"/>
      <c r="G35" s="19"/>
      <c r="H35" s="20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8"/>
      <c r="G36" s="19"/>
      <c r="H36" s="20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8"/>
      <c r="G37" s="19"/>
      <c r="H37" s="20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8"/>
      <c r="G38" s="19"/>
      <c r="H38" s="20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8"/>
      <c r="G39" s="19"/>
      <c r="H39" s="20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8"/>
      <c r="G40" s="19"/>
      <c r="H40" s="20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8"/>
      <c r="G41" s="19"/>
      <c r="H41" s="20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8"/>
      <c r="G42" s="19"/>
      <c r="H42" s="20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8"/>
      <c r="G43" s="19"/>
      <c r="H43" s="20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8"/>
      <c r="G44" s="19"/>
      <c r="H44" s="20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8"/>
      <c r="G45" s="19"/>
      <c r="H45" s="20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8"/>
      <c r="G46" s="19"/>
      <c r="H46" s="20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8"/>
      <c r="G47" s="19"/>
      <c r="H47" s="20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8"/>
      <c r="G48" s="19"/>
      <c r="H48" s="20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8"/>
      <c r="G49" s="19"/>
      <c r="H49" s="20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8"/>
      <c r="G50" s="19"/>
      <c r="H50" s="20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8"/>
      <c r="G51" s="19"/>
      <c r="H51" s="20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8"/>
      <c r="G52" s="19"/>
      <c r="H52" s="20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8"/>
      <c r="G53" s="19"/>
      <c r="H53" s="20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8"/>
      <c r="G54" s="19"/>
      <c r="H54" s="20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8"/>
      <c r="G55" s="19"/>
      <c r="H55" s="20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8"/>
      <c r="G56" s="19"/>
      <c r="H56" s="20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8"/>
      <c r="G57" s="19"/>
      <c r="H57" s="20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8"/>
      <c r="G58" s="19"/>
      <c r="H58" s="20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8"/>
      <c r="G59" s="19"/>
      <c r="H59" s="20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8"/>
      <c r="G60" s="19"/>
      <c r="H60" s="20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8"/>
      <c r="G61" s="19"/>
      <c r="H61" s="20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8"/>
      <c r="G62" s="19"/>
      <c r="H62" s="20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8"/>
      <c r="G63" s="19"/>
      <c r="H63" s="20"/>
    </row>
  </sheetData>
  <sheetProtection sheet="true" formatCells="false"/>
  <autoFilter ref="A3:H64"/>
  <mergeCells count="7">
    <mergeCell ref="A1:G1"/>
    <mergeCell ref="A15:G15"/>
    <mergeCell ref="A16:G16"/>
    <mergeCell ref="A17:G17"/>
    <mergeCell ref="A18:G18"/>
    <mergeCell ref="A19:G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1">
    <dataValidation allowBlank="true" errorStyle="stop" operator="between" showDropDown="false" showErrorMessage="false" showInputMessage="false" sqref="H4:H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2025-12-19T20:33:44Z</dcterms:created>
  <dc:creator>openpyxl</dc:creator>
  <dc:description/>
  <dc:language>it-IT</dc:language>
  <cp:lastModifiedBy/>
  <dcterms:modified xsi:type="dcterms:W3CDTF">2025-12-19T22:04:51Z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
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definedNames>
    <definedName function="false" hidden="true" localSheetId="0" name="_xlnm._FilterDatabase" vbProcedure="false">Fase1!$A$1:$H$14</definedName>
    <definedName function="false" hidden="true" localSheetId="1" name="_xlnm._FilterDatabase" vbProcedure="false">Fase2!$A$1:$H$12</definedName>
    <definedName function="false" hidden="true" localSheetId="2" name="_xlnm._FilterDatabase" vbProcedure="false">Fase3!$A$1:$H$15</definedName>
    <definedName function="false" hidden="true" localSheetId="3" name="_xlnm._FilterDatabase" vbProcedure="false">Fase4!$A$1:$H$11</definedName>
    <definedName function="false" hidden="true" localSheetId="4" name="_xlnm._FilterDatabase" vbProcedure="false">Fase5!$A$1:$H$8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<sst xmlns="http://schemas.openxmlformats.org/spreadsheetml/2006/main" count="227" uniqueCount="49">
  <si>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</si>
  <si>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</si>
  <si>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</si>
  <si>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</si>
  <si>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</si>
  <si>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</si>
  <si>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</si>
  <si>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</si>
  <si>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</si>
  <si>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</si>
  <si>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</si>
  <si>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</si>
  <si>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</si>
  <si>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</si>
  <si>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</si>
  <si>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</si>
  <si>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</si>
  <si>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Cirio "Passata Verace"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</si>
  <si>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</si>
  <si>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</si>
  <si>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</si>
  <si>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</si>
  <si>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</si>
  <si>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</si>
  <si>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</si>
  <si>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</si>
  <si>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</si>
  <si>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</si>
  <si>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</si>
  <si>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</si>
  <si>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</si>
  <si>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</si>
  <si>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Fase</t>
  </si>
  <si>
    <t xml:space="preserve">Inizio fase</t>
  </si>
  <si>
    <t xml:space="preserve">Alimento da terminare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</si>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</sst>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#,##0.00"/>
    <numFmt numFmtId="167" formatCode="0.00"/>
    <numFmt numFmtId="168" formatCode="0.00000"/>
    <numFmt numFmtId="169" formatCode="dd/mm/yyyy"/>
    <numFmt numFmtId="170" formatCode="[$€-410]\ #,##0.00;[RED]\-[$€-410]\ 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8" activeCellId="0" sqref="A8"/>
    </sheetView>
  </sheetViews>
  <sheetFormatPr defaultColWidth="10.16015625" defaultRowHeight="16.9" customHeight="true" zeroHeight="false" outlineLevelRow="0" outlineLevelCol="0"/>
  <cols>
    <col collapsed="false" customWidth="true" hidden="false" outlineLevel="0" max="1" min="1" style="1" width="65.03"/>
    <col collapsed="false" customWidth="true" hidden="false" outlineLevel="0" max="2" min="2" style="1" width="4.9"/>
    <col collapsed="false" customWidth="true" hidden="false" outlineLevel="0" max="3" min="3" style="1" width="5.22"/>
    <col collapsed="false" customWidth="true" hidden="false" outlineLevel="0" max="4" min="4" style="1" width="4.9"/>
    <col collapsed="false" customWidth="true" hidden="false" outlineLevel="0" max="5" min="5" style="2" width="5.96"/>
    <col collapsed="false" customWidth="true" hidden="false" outlineLevel="0" max="6" min="6" style="1" width="4.9"/>
    <col collapsed="false" customWidth="true" hidden="false" outlineLevel="0" max="7" min="7" style="1" width="9.39"/>
    <col collapsed="false" customWidth="true" hidden="false" outlineLevel="0" max="8" min="8" style="1" width="21.81"/>
  </cols>
  <sheetData>
    <row r="1" customFormat="fals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customFormat="fals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customFormat="fals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customFormat="fals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customFormat="false" ht="16.9" hidden="false" customHeight="true" outlineLevel="0" collapsed="false">
      <c r="A6" s="1" t="s">
        <v>17</v>
      </c>
      <c r="B6" s="1" t="n">
        <v>500</v>
      </c>
      <c r="C6" s="1" t="s">
        <v>9</v>
      </c>
      <c r="D6" s="4" t="n">
        <f aca="false">1.29/0.7*B6/1000</f>
        <v>0.921428571428572</v>
      </c>
      <c r="E6" s="2" t="n">
        <v>3</v>
      </c>
      <c r="F6" s="4" t="n">
        <f aca="false">IF(D6&gt;0, E6/D6, 0)</f>
        <v>3.25581395348837</v>
      </c>
      <c r="G6" s="1" t="s">
        <v>14</v>
      </c>
    </row>
    <row r="7" customFormat="fals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customFormat="false" ht="16.9" hidden="false" customHeight="true" outlineLevel="0" collapsed="false">
      <c r="A8" s="1" t="s">
        <v>19</v>
      </c>
      <c r="B8" s="5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customFormat="fals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customFormat="fals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customFormat="fals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customFormat="fals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customFormat="fals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customFormat="false" ht="16.9" hidden="false" customHeight="true" outlineLevel="0" collapsed="false">
      <c r="A14" s="1" t="s">
        <v>30</v>
      </c>
      <c r="B14" s="1" t="n">
        <v>0</v>
      </c>
      <c r="C14" s="1" t="s">
        <v>9</v>
      </c>
      <c r="D14" s="6" t="n">
        <f aca="false">11*B14/1000</f>
        <v>0</v>
      </c>
      <c r="E14" s="7" t="n">
        <v>0</v>
      </c>
      <c r="F14" s="6" t="n">
        <f aca="false">IF(D14&gt;0, E14/D14, 0)</f>
        <v>0</v>
      </c>
      <c r="G14" s="1" t="s">
        <v>10</v>
      </c>
      <c r="H14" s="1" t="s">
        <v>31</v>
      </c>
    </row>
    <row r="15" customFormat="false" ht="16.9" hidden="false" customHeight="true" outlineLevel="0" collapsed="false">
      <c r="B15" s="8"/>
      <c r="C15" s="8"/>
      <c r="D15" s="9" t="n">
        <f aca="false">SUM(D2:D14)</f>
        <v>8.65473581881533</v>
      </c>
      <c r="E15" s="10" t="n">
        <f aca="false">SUM(E2:E14)</f>
        <v>24</v>
      </c>
      <c r="F15" s="9" t="n">
        <f aca="false">IF(D15&gt;0, E15/D15, 0)</f>
        <v>2.7730482480845</v>
      </c>
    </row>
  </sheetData>
  <autoFilter ref="A1:H14">
    <sortState ref="A2:H14">
      <sortCondition ref="A2:A14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8" activeCellId="0" sqref="B8"/>
    </sheetView>
  </sheetViews>
  <sheetFormatPr defaultColWidth="8.8359375" defaultRowHeight="15" customHeight="true" zeroHeight="false" outlineLevelRow="0" outlineLevelCol="0"/>
  <cols>
    <col collapsed="false" customWidth="true" hidden="false" outlineLevel="0" max="1" min="1" style="1" width="65.17"/>
    <col collapsed="false" customWidth="true" hidden="false" outlineLevel="0" max="2" min="2" style="1" width="4.9"/>
    <col collapsed="false" customWidth="true" hidden="false" outlineLevel="0" max="3" min="3" style="1" width="5.33"/>
    <col collapsed="false" customWidth="true" hidden="false" outlineLevel="0" max="4" min="4" style="1" width="5.17"/>
    <col collapsed="false" customWidth="true" hidden="false" outlineLevel="0" max="5" min="5" style="2" width="5"/>
    <col collapsed="false" customWidth="true" hidden="false" outlineLevel="0" max="6" min="6" style="1" width="6.34"/>
    <col collapsed="false" customWidth="true" hidden="false" outlineLevel="0" max="7" min="7" style="1" width="12.67"/>
    <col collapsed="false" customWidth="true" hidden="false" outlineLevel="0" max="8" min="8" style="1" width="21.66"/>
  </cols>
  <sheetData>
    <row r="1" customFormat="fals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5" hidden="false" customHeight="fals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customFormat="false" ht="15" hidden="false" customHeight="fals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customFormat="false" ht="15" hidden="false" customHeight="fals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customFormat="false" ht="15" hidden="false" customHeight="fals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customFormat="false" ht="15" hidden="false" customHeight="fals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customFormat="false" ht="15" hidden="false" customHeight="false" outlineLevel="0" collapsed="false">
      <c r="A7" s="1" t="s">
        <v>17</v>
      </c>
      <c r="B7" s="1" t="n">
        <v>750</v>
      </c>
      <c r="C7" s="1" t="s">
        <v>9</v>
      </c>
      <c r="D7" s="4" t="n">
        <f aca="false">1.29/0.7*B7/1000</f>
        <v>1.38214285714286</v>
      </c>
      <c r="E7" s="2" t="n">
        <v>3</v>
      </c>
      <c r="F7" s="4" t="n">
        <f aca="false">IF(D7&gt;0, E7/D7, 0)</f>
        <v>2.17054263565891</v>
      </c>
      <c r="G7" s="1" t="s">
        <v>14</v>
      </c>
    </row>
    <row r="8" customFormat="false" ht="15" hidden="false" customHeight="fals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customFormat="false" ht="15" hidden="false" customHeight="fals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customFormat="false" ht="15" hidden="false" customHeight="fals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customFormat="false" ht="15" hidden="false" customHeight="false" outlineLevel="0" collapsed="false">
      <c r="A11" s="1" t="s">
        <v>19</v>
      </c>
      <c r="B11" s="5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customFormat="false" ht="15" hidden="false" customHeight="false" outlineLevel="0" collapsed="false">
      <c r="A12" s="1" t="s">
        <v>30</v>
      </c>
      <c r="B12" s="1" t="n">
        <v>4</v>
      </c>
      <c r="C12" s="1" t="s">
        <v>9</v>
      </c>
      <c r="D12" s="4" t="n">
        <f aca="false">11*B12/1000</f>
        <v>0.044</v>
      </c>
      <c r="E12" s="2" t="n">
        <v>1</v>
      </c>
      <c r="F12" s="4" t="n">
        <f aca="false">IF(D12&gt;0, E12/D12, 0)</f>
        <v>22.7272727272727</v>
      </c>
      <c r="G12" s="1" t="s">
        <v>10</v>
      </c>
      <c r="H12" s="1" t="s">
        <v>31</v>
      </c>
    </row>
    <row r="13" customFormat="false" ht="15" hidden="false" customHeight="false" outlineLevel="0" collapsed="false">
      <c r="B13" s="8"/>
      <c r="C13" s="8"/>
      <c r="D13" s="11" t="n">
        <f aca="false">SUM(D2:D12)</f>
        <v>7.92311351916377</v>
      </c>
      <c r="E13" s="12" t="n">
        <f aca="false">SUM(E2:E12)</f>
        <v>28</v>
      </c>
      <c r="F13" s="11" t="n">
        <f aca="false">IF(D13&gt;0, E13/D13, 0)</f>
        <v>3.53396425941342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autoFilter ref="A1:H12">
    <sortState ref="A2:H12">
      <sortCondition ref="A2:A12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9" activeCellId="0" sqref="A19"/>
    </sheetView>
  </sheetViews>
  <sheetFormatPr defaultColWidth="8.8359375" defaultRowHeight="15" customHeight="true" zeroHeight="false" outlineLevelRow="0" outlineLevelCol="0"/>
  <cols>
    <col collapsed="false" customWidth="true" hidden="false" outlineLevel="0" max="1" min="1" style="1" width="65.17"/>
    <col collapsed="false" customWidth="true" hidden="false" outlineLevel="0" max="2" min="2" style="1" width="4.67"/>
    <col collapsed="false" customWidth="true" hidden="false" outlineLevel="0" max="3" min="3" style="1" width="5.33"/>
    <col collapsed="false" customWidth="true" hidden="false" outlineLevel="0" max="4" min="4" style="1" width="5.17"/>
    <col collapsed="false" customWidth="true" hidden="false" outlineLevel="0" max="5" min="5" style="2" width="6.34"/>
    <col collapsed="false" customWidth="true" hidden="false" outlineLevel="0" max="6" min="6" style="1" width="6.34"/>
    <col collapsed="false" customWidth="true" hidden="false" outlineLevel="0" max="7" min="7" style="1" width="10.17"/>
    <col collapsed="false" customWidth="true" hidden="false" outlineLevel="0" max="8" min="8" style="1" width="21.66"/>
  </cols>
  <sheetData>
    <row r="1" customFormat="fals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5" hidden="false" customHeight="fals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customFormat="false" ht="15" hidden="false" customHeight="false" outlineLevel="0" collapsed="false">
      <c r="A3" s="1" t="s">
        <v>22</v>
      </c>
      <c r="B3" s="1" t="n">
        <v>4</v>
      </c>
      <c r="C3" s="1" t="s">
        <v>9</v>
      </c>
      <c r="D3" s="4" t="n">
        <f aca="false">17.9*B3/1000</f>
        <v>0.0716</v>
      </c>
      <c r="E3" s="2" t="n">
        <v>1</v>
      </c>
      <c r="F3" s="4" t="n">
        <f aca="false">IF(D3&gt;0, E3/D3, 0)</f>
        <v>13.9664804469274</v>
      </c>
      <c r="G3" s="1" t="s">
        <v>10</v>
      </c>
    </row>
    <row r="4" customFormat="false" ht="15" hidden="false" customHeight="fals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customFormat="false" ht="15" hidden="false" customHeight="fals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customFormat="false" ht="15" hidden="false" customHeight="fals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customFormat="false" ht="15" hidden="false" customHeight="fals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customFormat="false" ht="15" hidden="false" customHeight="false" outlineLevel="0" collapsed="false">
      <c r="A8" s="1" t="s">
        <v>17</v>
      </c>
      <c r="B8" s="1" t="n">
        <v>1000</v>
      </c>
      <c r="C8" s="1" t="s">
        <v>9</v>
      </c>
      <c r="D8" s="4" t="n">
        <f aca="false">1.29/0.7*B8/1000</f>
        <v>1.84285714285714</v>
      </c>
      <c r="E8" s="2" t="n">
        <v>3</v>
      </c>
      <c r="F8" s="4" t="n">
        <f aca="false">IF(D8&gt;0, E8/D8, 0)</f>
        <v>1.62790697674419</v>
      </c>
      <c r="G8" s="1" t="s">
        <v>14</v>
      </c>
    </row>
    <row r="9" customFormat="false" ht="15" hidden="false" customHeight="fals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customFormat="false" ht="15" hidden="false" customHeight="fals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customFormat="false" ht="15" hidden="false" customHeight="false" outlineLevel="0" collapsed="false">
      <c r="A11" s="1" t="s">
        <v>30</v>
      </c>
      <c r="B11" s="1" t="n">
        <v>4</v>
      </c>
      <c r="C11" s="1" t="s">
        <v>9</v>
      </c>
      <c r="D11" s="4" t="n">
        <f aca="false">11*B11/1000</f>
        <v>0.044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customFormat="false" ht="15" hidden="false" customHeight="true" outlineLevel="0" collapsed="false">
      <c r="D12" s="11" t="n">
        <f aca="false">SUM(D2:D11)</f>
        <v>6.5753581184669</v>
      </c>
      <c r="E12" s="12" t="n">
        <f aca="false">SUM(E2:E11)</f>
        <v>27</v>
      </c>
      <c r="F12" s="11" t="n">
        <f aca="false">IF(D12&gt;0, E12/D12, 0)</f>
        <v>4.10624022502599</v>
      </c>
    </row>
    <row r="15" customFormat="false" ht="15" hidden="false" customHeight="false" outlineLevel="0" collapsed="false">
      <c r="B15" s="8"/>
      <c r="C15" s="8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H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11" activeCellId="0" sqref="C11"/>
    </sheetView>
  </sheetViews>
  <sheetFormatPr defaultColWidth="10.16015625" defaultRowHeight="15" customHeight="true" zeroHeight="false" outlineLevelRow="0" outlineLevelCol="0"/>
  <cols>
    <col collapsed="false" customWidth="true" hidden="false" outlineLevel="0" max="1" min="1" style="1" width="55.55"/>
    <col collapsed="false" customWidth="true" hidden="false" outlineLevel="0" max="2" min="2" style="1" width="5.47"/>
    <col collapsed="false" customWidth="true" hidden="false" outlineLevel="0" max="3" min="3" style="1" width="5.22"/>
    <col collapsed="false" customWidth="true" hidden="false" outlineLevel="0" max="4" min="4" style="1" width="4.9"/>
    <col collapsed="false" customWidth="true" hidden="false" outlineLevel="0" max="5" min="5" style="2" width="5.96"/>
    <col collapsed="false" customWidth="true" hidden="false" outlineLevel="0" max="6" min="6" style="1" width="5.96"/>
    <col collapsed="false" customWidth="true" hidden="false" outlineLevel="0" max="7" min="7" style="1" width="9.39"/>
    <col collapsed="false" customWidth="true" hidden="false" outlineLevel="0" max="8" min="8" style="1" width="21.81"/>
  </cols>
  <sheetData>
    <row r="1" customFormat="fals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5" hidden="false" customHeight="fals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customFormat="false" ht="15" hidden="false" customHeight="false" outlineLevel="0" collapsed="false">
      <c r="A3" s="1" t="s">
        <v>22</v>
      </c>
      <c r="B3" s="1" t="n">
        <v>4</v>
      </c>
      <c r="C3" s="1" t="s">
        <v>9</v>
      </c>
      <c r="D3" s="4" t="n">
        <f aca="false">17.9*B3/1000</f>
        <v>0.0716</v>
      </c>
      <c r="E3" s="2" t="n">
        <v>1</v>
      </c>
      <c r="F3" s="4" t="n">
        <f aca="false">IF(D3&gt;0, E3/D3, 0)</f>
        <v>13.9664804469274</v>
      </c>
      <c r="G3" s="1" t="s">
        <v>10</v>
      </c>
    </row>
    <row r="4" customFormat="false" ht="15" hidden="false" customHeight="fals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customFormat="false" ht="15" hidden="false" customHeight="fals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customFormat="false" ht="15" hidden="false" customHeight="fals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customFormat="false" ht="15" hidden="false" customHeight="false" outlineLevel="0" collapsed="false">
      <c r="A7" s="1" t="s">
        <v>17</v>
      </c>
      <c r="B7" s="1" t="n">
        <v>1000</v>
      </c>
      <c r="C7" s="1" t="s">
        <v>9</v>
      </c>
      <c r="D7" s="4" t="n">
        <f aca="false">1.29/0.7*B7/1000</f>
        <v>1.84285714285714</v>
      </c>
      <c r="E7" s="2" t="n">
        <v>4</v>
      </c>
      <c r="F7" s="4" t="n">
        <f aca="false">IF(D7&gt;0, E7/D7, 0)</f>
        <v>2.17054263565891</v>
      </c>
      <c r="G7" s="1" t="s">
        <v>14</v>
      </c>
    </row>
    <row r="8" customFormat="false" ht="15" hidden="false" customHeight="fals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customFormat="false" ht="15" hidden="false" customHeight="fals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customFormat="false" ht="15" hidden="false" customHeight="false" outlineLevel="0" collapsed="false">
      <c r="A10" s="1" t="s">
        <v>30</v>
      </c>
      <c r="B10" s="1" t="n">
        <v>4</v>
      </c>
      <c r="C10" s="1" t="s">
        <v>9</v>
      </c>
      <c r="D10" s="4" t="n">
        <f aca="false">11*B10/1000</f>
        <v>0.044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31</v>
      </c>
    </row>
    <row r="11" customFormat="false" ht="15" hidden="false" customHeight="false" outlineLevel="0" collapsed="false">
      <c r="B11" s="8"/>
      <c r="C11" s="8"/>
      <c r="D11" s="11" t="n">
        <f aca="false">SUM(D2:D10)</f>
        <v>6.46871177700348</v>
      </c>
      <c r="E11" s="12" t="n">
        <f aca="false">SUM(E2:E10)</f>
        <v>29</v>
      </c>
      <c r="F11" s="11" t="n">
        <f aca="false">IF(D11&gt;0, E11/D11, 0)</f>
        <v>4.48311827759835</v>
      </c>
    </row>
    <row r="12" customFormat="false" ht="15" hidden="false" customHeight="true" outlineLevel="0" collapsed="false">
      <c r="F12" s="13"/>
    </row>
    <row r="1048572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H11">
    <sortState ref="A2:H11">
      <sortCondition ref="A2:A1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2" activeCellId="0" sqref="A12"/>
    </sheetView>
  </sheetViews>
  <sheetFormatPr defaultColWidth="10.16015625" defaultRowHeight="15" customHeight="true" zeroHeight="false" outlineLevelRow="0" outlineLevelCol="0"/>
  <cols>
    <col collapsed="false" customWidth="true" hidden="false" outlineLevel="0" max="1" min="1" style="1" width="48.69"/>
    <col collapsed="false" customWidth="true" hidden="false" outlineLevel="0" max="2" min="2" style="1" width="5.47"/>
    <col collapsed="false" customWidth="true" hidden="false" outlineLevel="0" max="3" min="3" style="1" width="5.22"/>
    <col collapsed="false" customWidth="true" hidden="false" outlineLevel="0" max="4" min="4" style="1" width="4.9"/>
    <col collapsed="false" customWidth="true" hidden="false" outlineLevel="0" max="5" min="5" style="2" width="5.96"/>
    <col collapsed="false" customWidth="true" hidden="false" outlineLevel="0" max="6" min="6" style="1" width="4.9"/>
    <col collapsed="false" customWidth="true" hidden="false" outlineLevel="0" max="7" min="7" style="1" width="9.39"/>
  </cols>
  <sheetData>
    <row r="1" customFormat="false" ht="46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5" hidden="false" customHeight="fals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customFormat="false" ht="15" hidden="false" customHeight="fals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customFormat="false" ht="15" hidden="false" customHeight="fals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customFormat="false" ht="15" hidden="false" customHeight="fals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customFormat="false" ht="15" hidden="false" customHeight="false" outlineLevel="0" collapsed="false">
      <c r="A6" s="1" t="s">
        <v>17</v>
      </c>
      <c r="B6" s="1" t="n">
        <v>1000</v>
      </c>
      <c r="C6" s="1" t="s">
        <v>9</v>
      </c>
      <c r="D6" s="4" t="n">
        <f aca="false">1.29/0.7*B6/1000</f>
        <v>1.84285714285714</v>
      </c>
      <c r="E6" s="2" t="n">
        <v>5</v>
      </c>
      <c r="F6" s="4" t="n">
        <f aca="false">IF(D6&gt;0, E6/D6, 0)</f>
        <v>2.71317829457364</v>
      </c>
      <c r="G6" s="1" t="s">
        <v>14</v>
      </c>
    </row>
    <row r="7" customFormat="false" ht="15" hidden="false" customHeight="fals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customFormat="false" ht="15" hidden="false" customHeight="false" outlineLevel="0" collapsed="false">
      <c r="B8" s="8"/>
      <c r="C8" s="8"/>
      <c r="D8" s="11" t="n">
        <f aca="false">SUM(D2:D7)</f>
        <v>6.43987177700348</v>
      </c>
      <c r="E8" s="12" t="n">
        <f aca="false">SUM(E2:E7)</f>
        <v>31</v>
      </c>
      <c r="F8" s="11" t="n">
        <f aca="false">IF(D8&gt;0, E8/D8, 0)</f>
        <v>4.8137604401845</v>
      </c>
    </row>
    <row r="9" customFormat="false" ht="15" hidden="false" customHeight="true" outlineLevel="0" collapsed="false">
      <c r="F9" s="13"/>
    </row>
    <row r="10" customFormat="false" ht="15" hidden="false" customHeight="true" outlineLevel="0" collapsed="false">
      <c r="F10" s="13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autoFilter ref="A1:H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F3" activeCellId="0" sqref="F3"/>
    </sheetView>
  </sheetViews>
  <sheetFormatPr defaultColWidth="10.16796875" defaultRowHeight="12.7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"/>
    <col collapsed="false" customWidth="true" hidden="false" outlineLevel="0" max="3" min="3" style="1" width="22.67"/>
    <col collapsed="false" customWidth="true" hidden="false" outlineLevel="0" max="4" min="4" style="1" width="4.83"/>
    <col collapsed="false" customWidth="true" hidden="false" outlineLevel="0" max="5" min="5" style="1" width="5.5"/>
    <col collapsed="false" customWidth="true" hidden="false" outlineLevel="0" max="6" min="6" style="14" width="11"/>
    <col collapsed="false" customWidth="true" hidden="false" outlineLevel="0" max="7" min="7" style="15" width="6.5"/>
  </cols>
  <sheetData>
    <row r="1" s="17" customFormat="true" ht="13.8" hidden="false" customHeight="false" outlineLevel="0" collapsed="false">
      <c r="A1" s="16" t="s">
        <v>32</v>
      </c>
      <c r="B1" s="16" t="s">
        <v>33</v>
      </c>
      <c r="C1" s="16" t="s">
        <v>34</v>
      </c>
      <c r="D1" s="16" t="s">
        <v>1</v>
      </c>
      <c r="E1" s="16" t="s">
        <v>2</v>
      </c>
      <c r="F1" s="16" t="s">
        <v>35</v>
      </c>
      <c r="G1" s="16" t="s">
        <v>36</v>
      </c>
    </row>
    <row r="2" customFormat="false" ht="13.8" hidden="false" customHeight="false" outlineLevel="0" collapsed="false">
      <c r="A2" s="1" t="s">
        <v>37</v>
      </c>
      <c r="B2" s="14" t="n">
        <v>45989</v>
      </c>
      <c r="C2" s="1" t="s">
        <v>38</v>
      </c>
      <c r="D2" s="1" t="n">
        <f aca="false">1.15+0.05</f>
        <v>1.2</v>
      </c>
      <c r="E2" s="1" t="s">
        <v>39</v>
      </c>
      <c r="F2" s="14" t="n">
        <v>46012</v>
      </c>
      <c r="G2" s="15" t="n">
        <f aca="false">Fase1!D$15</f>
        <v>8.65473581881533</v>
      </c>
    </row>
    <row r="3" customFormat="false" ht="13.8" hidden="false" customHeight="false" outlineLevel="0" collapsed="false">
      <c r="A3" s="1" t="s">
        <v>40</v>
      </c>
      <c r="B3" s="14" t="n">
        <f aca="false">F2+1</f>
        <v>46013</v>
      </c>
      <c r="C3" s="1" t="s">
        <v>41</v>
      </c>
      <c r="D3" s="1" t="n">
        <f aca="false">29+11</f>
        <v>40</v>
      </c>
      <c r="E3" s="1" t="s">
        <v>20</v>
      </c>
      <c r="F3" s="14" t="n">
        <f aca="false">"3/12/2025"+D3/(12/7)</f>
        <v>46017.3333333333</v>
      </c>
      <c r="G3" s="15" t="n">
        <f aca="false">Fase2!D$13</f>
        <v>7.92311351916377</v>
      </c>
    </row>
    <row r="4" customFormat="false" ht="13.8" hidden="false" customHeight="false" outlineLevel="0" collapsed="false">
      <c r="A4" s="1" t="s">
        <v>42</v>
      </c>
      <c r="B4" s="14" t="n">
        <f aca="false">F3+1</f>
        <v>46018.3333333333</v>
      </c>
      <c r="C4" s="1" t="s">
        <v>43</v>
      </c>
      <c r="D4" s="1" t="n">
        <v>6</v>
      </c>
      <c r="E4" s="1" t="s">
        <v>44</v>
      </c>
      <c r="F4" s="14" t="n">
        <f aca="false">"4/12/2025"+D4/0.25</f>
        <v>46019</v>
      </c>
      <c r="G4" s="15" t="n">
        <f aca="false">Fase3!D12</f>
        <v>6.5753581184669</v>
      </c>
    </row>
    <row r="5" customFormat="false" ht="13.8" hidden="false" customHeight="false" outlineLevel="0" collapsed="false">
      <c r="A5" s="1" t="s">
        <v>45</v>
      </c>
      <c r="B5" s="14" t="n">
        <f aca="false">F4+1</f>
        <v>46020</v>
      </c>
      <c r="C5" s="1" t="s">
        <v>46</v>
      </c>
      <c r="D5" s="1" t="n">
        <v>0.6</v>
      </c>
      <c r="E5" s="1" t="s">
        <v>39</v>
      </c>
      <c r="F5" s="14" t="n">
        <f aca="false">"4/12/2025"+D5/0.02</f>
        <v>46025</v>
      </c>
      <c r="G5" s="15" t="n">
        <f aca="false">Fase4!D11</f>
        <v>6.46871177700348</v>
      </c>
    </row>
    <row r="6" customFormat="false" ht="13.8" hidden="false" customHeight="false" outlineLevel="0" collapsed="false">
      <c r="A6" s="1" t="s">
        <v>47</v>
      </c>
      <c r="B6" s="14" t="n">
        <f aca="false">F5+1</f>
        <v>46026</v>
      </c>
      <c r="C6" s="1" t="s">
        <v>48</v>
      </c>
      <c r="F6" s="14" t="n">
        <v>47483</v>
      </c>
      <c r="G6" s="15" t="n">
        <f aca="false">Fase5!D8</f>
        <v>6.43987177700348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436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2025-11-20T10:33:39Z</dcterms:created>
  <dc:creator>openpyxl</dc:creator>
  <dc:description/>
  <dc:language>it-IT</dc:language>
  <cp:lastModifiedBy/>
  <dcterms:modified xsi:type="dcterms:W3CDTF">2025-12-21T09:21:34Z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
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caccia/FunctionalGourmet/02-Dati/"/>
    </mc:Choice>
  </mc:AlternateContent>
  <xr:revisionPtr revIDLastSave="0" documentId="13_ncr:1_{CB14FEDE-1291-174F-BD75-873129BBC1A7}" xr6:coauthVersionLast="47" xr6:coauthVersionMax="47" xr10:uidLastSave="{00000000-0000-0000-0000-000000000000}"/>
  <bookViews>
    <workbookView xWindow="0" yWindow="680" windowWidth="34560" windowHeight="21660" tabRatio="500" activeTab="5" xr2:uid="{00000000-000D-0000-FFFF-FFFF00000000}"/>
  </bookViews>
  <sheets>
    <sheet name="Fase1" sheetId="1" r:id="rId1"/>
    <sheet name="Fase2" sheetId="2" r:id="rId2"/>
    <sheet name="Fase3" sheetId="3" r:id="rId3"/>
    <sheet name="Fase4" sheetId="4" r:id="rId4"/>
    <sheet name="Fase5" sheetId="5" r:id="rId5"/>
    <sheet name="Timeline" sheetId="6" r:id="rId6"/>
  </sheets>
  <definedNames>
    <definedName name="_xlnm._FilterDatabase" localSheetId="0" hidden="1">Fase1!$A$1:$H$14</definedName>
    <definedName name="_xlnm._FilterDatabase" localSheetId="1" hidden="1">Fase2!$A$1:$H$12</definedName>
    <definedName name="_xlnm._FilterDatabase" localSheetId="2" hidden="1">Fase3!$A$1:$H$15</definedName>
    <definedName name="_xlnm._FilterDatabase" localSheetId="3" hidden="1">Fase4!$A$1:$H$11</definedName>
    <definedName name="_xlnm._FilterDatabase" localSheetId="4" hidden="1">Fase5!$A$1:$H$8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" i="6" l="1"/>
  <c r="G2" i="6"/>
  <c r="D2" i="5"/>
  <c r="D2" i="4"/>
  <c r="D2" i="3"/>
  <c r="F2" i="3" s="1"/>
  <c r="D2" i="2"/>
  <c r="D2" i="1"/>
  <c r="B4" i="6"/>
  <c r="B3" i="6"/>
  <c r="B11" i="2"/>
  <c r="D11" i="2" s="1"/>
  <c r="F11" i="2" s="1"/>
  <c r="D2" i="6"/>
  <c r="D3" i="6"/>
  <c r="F3" i="6" s="1"/>
  <c r="B4" i="1"/>
  <c r="D4" i="1" s="1"/>
  <c r="F4" i="1" s="1"/>
  <c r="B8" i="1"/>
  <c r="D6" i="5"/>
  <c r="F6" i="5" s="1"/>
  <c r="D7" i="4"/>
  <c r="D8" i="3"/>
  <c r="E13" i="2"/>
  <c r="E15" i="1"/>
  <c r="D7" i="2"/>
  <c r="F7" i="2" s="1"/>
  <c r="D6" i="1"/>
  <c r="F6" i="1" s="1"/>
  <c r="F5" i="6"/>
  <c r="B6" i="6" s="1"/>
  <c r="F4" i="6"/>
  <c r="B5" i="6" s="1"/>
  <c r="F2" i="6"/>
  <c r="E8" i="5"/>
  <c r="F7" i="5"/>
  <c r="D7" i="5"/>
  <c r="D5" i="5"/>
  <c r="F5" i="5" s="1"/>
  <c r="F4" i="5"/>
  <c r="D4" i="5"/>
  <c r="D3" i="5"/>
  <c r="F3" i="5" s="1"/>
  <c r="F2" i="5"/>
  <c r="E11" i="4"/>
  <c r="D10" i="4"/>
  <c r="F10" i="4" s="1"/>
  <c r="D9" i="4"/>
  <c r="F9" i="4" s="1"/>
  <c r="D8" i="4"/>
  <c r="F8" i="4" s="1"/>
  <c r="D6" i="4"/>
  <c r="F6" i="4" s="1"/>
  <c r="F7" i="4"/>
  <c r="D5" i="4"/>
  <c r="F5" i="4" s="1"/>
  <c r="D3" i="4"/>
  <c r="F3" i="4" s="1"/>
  <c r="D4" i="4"/>
  <c r="F4" i="4" s="1"/>
  <c r="E12" i="3"/>
  <c r="D11" i="3"/>
  <c r="F11" i="3" s="1"/>
  <c r="D10" i="3"/>
  <c r="F10" i="3" s="1"/>
  <c r="D9" i="3"/>
  <c r="F9" i="3" s="1"/>
  <c r="D7" i="3"/>
  <c r="F7" i="3" s="1"/>
  <c r="F8" i="3"/>
  <c r="D6" i="3"/>
  <c r="F6" i="3" s="1"/>
  <c r="D5" i="3"/>
  <c r="D4" i="3"/>
  <c r="F4" i="3" s="1"/>
  <c r="D3" i="3"/>
  <c r="F3" i="3" s="1"/>
  <c r="D12" i="2"/>
  <c r="F12" i="2" s="1"/>
  <c r="D10" i="2"/>
  <c r="F10" i="2" s="1"/>
  <c r="D9" i="2"/>
  <c r="F9" i="2" s="1"/>
  <c r="D6" i="2"/>
  <c r="F6" i="2" s="1"/>
  <c r="D5" i="2"/>
  <c r="F5" i="2" s="1"/>
  <c r="D4" i="2"/>
  <c r="F4" i="2" s="1"/>
  <c r="D3" i="2"/>
  <c r="F3" i="2" s="1"/>
  <c r="F2" i="2"/>
  <c r="D8" i="2"/>
  <c r="F8" i="2" s="1"/>
  <c r="D14" i="1"/>
  <c r="F14" i="1" s="1"/>
  <c r="D13" i="1"/>
  <c r="F13" i="1" s="1"/>
  <c r="D12" i="1"/>
  <c r="F12" i="1" s="1"/>
  <c r="D11" i="1"/>
  <c r="F11" i="1" s="1"/>
  <c r="D10" i="1"/>
  <c r="F10" i="1" s="1"/>
  <c r="D8" i="1"/>
  <c r="F8" i="1" s="1"/>
  <c r="D7" i="1"/>
  <c r="F7" i="1" s="1"/>
  <c r="D5" i="1"/>
  <c r="F5" i="1" s="1"/>
  <c r="D3" i="1"/>
  <c r="F3" i="1" s="1"/>
  <c r="D9" i="1"/>
  <c r="F9" i="1" s="1"/>
  <c r="D13" i="2" l="1"/>
  <c r="D15" i="1"/>
  <c r="F15" i="1" s="1"/>
  <c r="D11" i="4"/>
  <c r="G5" i="6" s="1"/>
  <c r="F2" i="4"/>
  <c r="D12" i="3"/>
  <c r="F13" i="2"/>
  <c r="G4" i="6"/>
  <c r="F12" i="3"/>
  <c r="F2" i="1"/>
  <c r="D8" i="5"/>
  <c r="F5" i="3"/>
  <c r="F11" i="4" l="1"/>
  <c r="G6" i="6"/>
  <c r="F8" i="5"/>
</calcChain>
</file>

<file path=xl/sharedStrings.xml><?xml version="1.0" encoding="utf-8"?>
<sst xmlns="http://schemas.openxmlformats.org/spreadsheetml/2006/main" count="227" uniqueCount="49">
  <si>
    <t>Food</t>
  </si>
  <si>
    <t>Q</t>
  </si>
  <si>
    <t>Unit</t>
  </si>
  <si>
    <t>€</t>
  </si>
  <si>
    <t>%NT</t>
  </si>
  <si>
    <t>NT/€</t>
  </si>
  <si>
    <t>Meal</t>
  </si>
  <si>
    <t>Notes</t>
  </si>
  <si>
    <t>Walnuts</t>
  </si>
  <si>
    <t>g</t>
  </si>
  <si>
    <t>Colazione</t>
  </si>
  <si>
    <t>Rolled Oats, dry</t>
  </si>
  <si>
    <t>Seeds, Flaxseed</t>
  </si>
  <si>
    <t>Elimination candidate: 4</t>
  </si>
  <si>
    <t>Chickpeas, dry, home soaked and cooked, no salt [AMC]</t>
  </si>
  <si>
    <t>Mattina</t>
  </si>
  <si>
    <t>Soy Milk, Plain or Original, Sweetened with Sugar, Ready-to-Drink, Enriched</t>
  </si>
  <si>
    <t>Elimination candidate: 5</t>
  </si>
  <si>
    <t>Spinach, raw</t>
  </si>
  <si>
    <t>fit&amp;pro Vegan Protein Bar low sugar Lemon</t>
  </si>
  <si>
    <t>each</t>
  </si>
  <si>
    <t>Elimination candidate: 2</t>
  </si>
  <si>
    <t>Sir Winston - Pure Green Tea</t>
  </si>
  <si>
    <t>Drink</t>
  </si>
  <si>
    <t>Sunfood, Organic Black Seeds Ancient Super Seed Nigella Sativa</t>
  </si>
  <si>
    <t>Cacao, Nibs, Raw Organic</t>
  </si>
  <si>
    <t>Elimination candidate: 1</t>
  </si>
  <si>
    <t>Igart – Pure Dried Cranberries</t>
  </si>
  <si>
    <t>Elimination candidate: 3</t>
  </si>
  <si>
    <t>Pumpkin or Squash Seeds, Shelled, Unsalted</t>
  </si>
  <si>
    <t>Elimination candidate: 6</t>
  </si>
  <si>
    <t>Fase</t>
  </si>
  <si>
    <t>Inizio fase</t>
  </si>
  <si>
    <t>Alimento da terminare</t>
  </si>
  <si>
    <t>Termina il</t>
  </si>
  <si>
    <t>Costo</t>
  </si>
  <si>
    <t>Fase1</t>
  </si>
  <si>
    <t>Barrette</t>
  </si>
  <si>
    <t>Fase2</t>
  </si>
  <si>
    <t>Cacao Nibs + Cranberries</t>
  </si>
  <si>
    <t>Kg</t>
  </si>
  <si>
    <t>Fase3</t>
  </si>
  <si>
    <t>Soy Milk</t>
  </si>
  <si>
    <t>liters</t>
  </si>
  <si>
    <t>Fase4</t>
  </si>
  <si>
    <t>Semi (tutti)</t>
  </si>
  <si>
    <t>Fase5</t>
  </si>
  <si>
    <t>Nessuno</t>
  </si>
  <si>
    <t>Cirio "Passata Verace" [AMC]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</si>
</sst>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dd/mm/yyyy"/>
    <numFmt numFmtId="166" formatCode="[$€-410]\ #,##0.00;[Red]\-[$€-410]\ #,##0.00"/>
  </numFmts>
  <fonts count="2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slantDashDot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49" fontId="1" fillId="2" borderId="1" xfId="0" applyNumberFormat="1" applyFont="1" applyFill="1" applyBorder="1" applyAlignment="1">
      <alignment horizontal="center" wrapText="1"/>
    </xf>
    <xf numFmtId="4" fontId="0" fillId="0" borderId="0" xfId="0" applyNumberFormat="1"/>
    <xf numFmtId="0" fontId="1" fillId="0" borderId="0" xfId="0" applyFont="1"/>
    <xf numFmtId="4" fontId="1" fillId="0" borderId="2" xfId="0" applyNumberFormat="1" applyFont="1" applyBorder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" fontId="1" fillId="0" borderId="0" xfId="0" applyNumberFormat="1" applyFont="1"/>
    <xf numFmtId="4" fontId="0" fillId="0" borderId="3" xfId="0" applyNumberFormat="1" applyBorder="1"/>
    <xf numFmtId="0" fontId="0" fillId="0" borderId="3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48575"/>
  <sheetViews>
    <sheetView zoomScale="200" zoomScaleNormal="200" workbookViewId="0">
      <selection activeCell="D2" sqref="D2"/>
    </sheetView>
  </sheetViews>
  <sheetFormatPr baseColWidth="10" defaultColWidth="8.83203125" defaultRowHeight="15" customHeight="1" x14ac:dyDescent="0.2"/>
  <cols>
    <col min="1" max="1" width="65.1640625" customWidth="1"/>
    <col min="2" max="2" width="4.6640625" customWidth="1"/>
    <col min="3" max="3" width="5.33203125" customWidth="1"/>
    <col min="4" max="4" width="5.1640625" customWidth="1"/>
    <col min="5" max="5" width="7.1640625" customWidth="1"/>
    <col min="6" max="6" width="6.33203125" customWidth="1"/>
    <col min="7" max="7" width="10.1640625" customWidth="1"/>
    <col min="8" max="8" width="21.6640625" customWidth="1"/>
  </cols>
  <sheetData>
    <row r="1" spans="1:8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11</v>
      </c>
      <c r="B2">
        <v>140</v>
      </c>
      <c r="C2" t="s">
        <v>9</v>
      </c>
      <c r="D2" s="2">
        <f>1.99/0.5*B2/1000</f>
        <v>0.55720000000000003</v>
      </c>
      <c r="E2">
        <v>3</v>
      </c>
      <c r="F2" s="2">
        <f t="shared" ref="F2:F15" si="0">IF(D2&gt;0, E2/D2, 0)</f>
        <v>5.3840631730078963</v>
      </c>
      <c r="G2" t="s">
        <v>10</v>
      </c>
    </row>
    <row r="3" spans="1:8" x14ac:dyDescent="0.2">
      <c r="A3" t="s">
        <v>12</v>
      </c>
      <c r="B3">
        <v>16</v>
      </c>
      <c r="C3" t="s">
        <v>9</v>
      </c>
      <c r="D3" s="2">
        <f>7.23*B3/1000</f>
        <v>0.11568000000000001</v>
      </c>
      <c r="E3">
        <v>1</v>
      </c>
      <c r="F3" s="2">
        <f t="shared" si="0"/>
        <v>8.6445366528354075</v>
      </c>
      <c r="G3" t="s">
        <v>10</v>
      </c>
      <c r="H3" t="s">
        <v>13</v>
      </c>
    </row>
    <row r="4" spans="1:8" x14ac:dyDescent="0.2">
      <c r="A4" t="s">
        <v>14</v>
      </c>
      <c r="B4">
        <f>650</f>
        <v>650</v>
      </c>
      <c r="C4" t="s">
        <v>9</v>
      </c>
      <c r="D4" s="2">
        <f>(4+0.5)/2.46*B4/1000</f>
        <v>1.1890243902439024</v>
      </c>
      <c r="E4">
        <v>6</v>
      </c>
      <c r="F4" s="2">
        <f t="shared" si="0"/>
        <v>5.046153846153846</v>
      </c>
      <c r="G4" t="s">
        <v>15</v>
      </c>
    </row>
    <row r="5" spans="1:8" x14ac:dyDescent="0.2">
      <c r="A5" t="s">
        <v>16</v>
      </c>
      <c r="B5">
        <v>250</v>
      </c>
      <c r="C5" t="s">
        <v>9</v>
      </c>
      <c r="D5" s="2">
        <f>1.89*B5/1000</f>
        <v>0.47249999999999998</v>
      </c>
      <c r="E5">
        <v>2</v>
      </c>
      <c r="F5" s="2">
        <f t="shared" si="0"/>
        <v>4.2328042328042335</v>
      </c>
      <c r="G5" t="s">
        <v>10</v>
      </c>
      <c r="H5" t="s">
        <v>17</v>
      </c>
    </row>
    <row r="6" spans="1:8" x14ac:dyDescent="0.2">
      <c r="A6" t="s">
        <v>48</v>
      </c>
      <c r="B6">
        <v>500</v>
      </c>
      <c r="C6" t="s">
        <v>9</v>
      </c>
      <c r="D6" s="2">
        <f>1.29/0.7*B6/1000</f>
        <v>0.92142857142857149</v>
      </c>
      <c r="E6">
        <v>3</v>
      </c>
      <c r="F6" s="2">
        <f t="shared" si="0"/>
        <v>3.2558139534883721</v>
      </c>
      <c r="G6" t="s">
        <v>15</v>
      </c>
    </row>
    <row r="7" spans="1:8" x14ac:dyDescent="0.2">
      <c r="A7" t="s">
        <v>18</v>
      </c>
      <c r="B7">
        <v>500</v>
      </c>
      <c r="C7" t="s">
        <v>9</v>
      </c>
      <c r="D7" s="2">
        <f>2.19/0.5*B7/1000</f>
        <v>2.19</v>
      </c>
      <c r="E7">
        <v>6</v>
      </c>
      <c r="F7" s="2">
        <f t="shared" si="0"/>
        <v>2.7397260273972601</v>
      </c>
      <c r="G7" t="s">
        <v>15</v>
      </c>
    </row>
    <row r="8" spans="1:8" x14ac:dyDescent="0.2">
      <c r="A8" t="s">
        <v>19</v>
      </c>
      <c r="B8">
        <f>(5*2+2)/7</f>
        <v>1.7142857142857142</v>
      </c>
      <c r="C8" t="s">
        <v>20</v>
      </c>
      <c r="D8" s="2">
        <f>0.99*B8</f>
        <v>1.6971428571428571</v>
      </c>
      <c r="E8">
        <v>2</v>
      </c>
      <c r="F8" s="2">
        <f t="shared" si="0"/>
        <v>1.1784511784511784</v>
      </c>
      <c r="G8" t="s">
        <v>15</v>
      </c>
      <c r="H8" t="s">
        <v>21</v>
      </c>
    </row>
    <row r="9" spans="1:8" x14ac:dyDescent="0.2">
      <c r="A9" t="s">
        <v>8</v>
      </c>
      <c r="B9">
        <v>0</v>
      </c>
      <c r="C9" t="s">
        <v>9</v>
      </c>
      <c r="D9" s="2">
        <f>17.9*B9/1000</f>
        <v>0</v>
      </c>
      <c r="E9">
        <v>1</v>
      </c>
      <c r="F9" s="2">
        <f t="shared" si="0"/>
        <v>0</v>
      </c>
      <c r="G9" t="s">
        <v>10</v>
      </c>
    </row>
    <row r="10" spans="1:8" x14ac:dyDescent="0.2">
      <c r="A10" t="s">
        <v>22</v>
      </c>
      <c r="B10">
        <v>1</v>
      </c>
      <c r="C10" t="s">
        <v>20</v>
      </c>
      <c r="D10" s="2">
        <f>2/20*B10</f>
        <v>0.1</v>
      </c>
      <c r="E10">
        <v>0</v>
      </c>
      <c r="F10" s="2">
        <f t="shared" si="0"/>
        <v>0</v>
      </c>
      <c r="G10" t="s">
        <v>23</v>
      </c>
    </row>
    <row r="11" spans="1:8" x14ac:dyDescent="0.2">
      <c r="A11" t="s">
        <v>24</v>
      </c>
      <c r="B11">
        <v>4</v>
      </c>
      <c r="C11" t="s">
        <v>9</v>
      </c>
      <c r="D11" s="2">
        <f>20.99*B11/1000</f>
        <v>8.3959999999999993E-2</v>
      </c>
      <c r="E11">
        <v>0</v>
      </c>
      <c r="F11" s="2">
        <f t="shared" si="0"/>
        <v>0</v>
      </c>
      <c r="G11" t="s">
        <v>10</v>
      </c>
      <c r="H11" t="s">
        <v>13</v>
      </c>
    </row>
    <row r="12" spans="1:8" x14ac:dyDescent="0.2">
      <c r="A12" t="s">
        <v>25</v>
      </c>
      <c r="B12">
        <v>20</v>
      </c>
      <c r="C12" t="s">
        <v>9</v>
      </c>
      <c r="D12" s="2">
        <f>31.44*B12/1000</f>
        <v>0.62880000000000003</v>
      </c>
      <c r="E12">
        <v>0</v>
      </c>
      <c r="F12" s="2">
        <f t="shared" si="0"/>
        <v>0</v>
      </c>
      <c r="G12" t="s">
        <v>10</v>
      </c>
      <c r="H12" t="s">
        <v>26</v>
      </c>
    </row>
    <row r="13" spans="1:8" x14ac:dyDescent="0.2">
      <c r="A13" t="s">
        <v>27</v>
      </c>
      <c r="B13">
        <v>60</v>
      </c>
      <c r="C13" t="s">
        <v>9</v>
      </c>
      <c r="D13" s="2">
        <f>34.95/3*B13/1000</f>
        <v>0.69899999999999995</v>
      </c>
      <c r="E13">
        <v>0</v>
      </c>
      <c r="F13" s="2">
        <f t="shared" si="0"/>
        <v>0</v>
      </c>
      <c r="G13" t="s">
        <v>10</v>
      </c>
      <c r="H13" t="s">
        <v>28</v>
      </c>
    </row>
    <row r="14" spans="1:8" ht="16" thickBot="1" x14ac:dyDescent="0.25">
      <c r="A14" t="s">
        <v>29</v>
      </c>
      <c r="B14">
        <v>0</v>
      </c>
      <c r="C14" t="s">
        <v>9</v>
      </c>
      <c r="D14" s="11">
        <f>11*B14/1000</f>
        <v>0</v>
      </c>
      <c r="E14" s="12">
        <v>0</v>
      </c>
      <c r="F14" s="11">
        <f t="shared" si="0"/>
        <v>0</v>
      </c>
      <c r="G14" t="s">
        <v>10</v>
      </c>
      <c r="H14" t="s">
        <v>30</v>
      </c>
    </row>
    <row r="15" spans="1:8" x14ac:dyDescent="0.2">
      <c r="B15" s="3"/>
      <c r="C15" s="3"/>
      <c r="D15" s="10">
        <f>SUM(D2:D14)</f>
        <v>8.6547358188153325</v>
      </c>
      <c r="E15" s="10">
        <f>SUM(E2:E14)</f>
        <v>24</v>
      </c>
      <c r="F15" s="10">
        <f t="shared" si="0"/>
        <v>2.7730482480844967</v>
      </c>
    </row>
    <row r="1048575" ht="12.75" customHeight="1" x14ac:dyDescent="0.2"/>
  </sheetData>
  <autoFilter ref="A1:H14" xr:uid="{00000000-0009-0000-0000-000000000000}">
    <sortState xmlns:xlrd2="http://schemas.microsoft.com/office/spreadsheetml/2017/richdata2" ref="A2:H14">
      <sortCondition descending="1" ref="F1:F14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8574"/>
  <sheetViews>
    <sheetView zoomScale="200" zoomScaleNormal="200" workbookViewId="0">
      <selection activeCell="D2" sqref="D2"/>
    </sheetView>
  </sheetViews>
  <sheetFormatPr baseColWidth="10" defaultColWidth="8.83203125" defaultRowHeight="15" customHeight="1" x14ac:dyDescent="0.2"/>
  <cols>
    <col min="1" max="1" width="65.1640625" customWidth="1"/>
    <col min="2" max="2" width="4.6640625" customWidth="1"/>
    <col min="3" max="3" width="5.33203125" customWidth="1"/>
    <col min="4" max="4" width="5.1640625" customWidth="1"/>
    <col min="5" max="5" width="5" customWidth="1"/>
    <col min="6" max="6" width="6.33203125" customWidth="1"/>
    <col min="7" max="7" width="12.6640625" customWidth="1"/>
    <col min="8" max="8" width="21.6640625" customWidth="1"/>
  </cols>
  <sheetData>
    <row r="1" spans="1:8" ht="18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11</v>
      </c>
      <c r="B2">
        <v>140</v>
      </c>
      <c r="C2" t="s">
        <v>9</v>
      </c>
      <c r="D2" s="2">
        <f>1.99/0.5*B2/1000</f>
        <v>0.55720000000000003</v>
      </c>
      <c r="E2">
        <v>4</v>
      </c>
      <c r="F2" s="2">
        <f t="shared" ref="F2:F13" si="0">IF(D2&gt;0, E2/D2, 0)</f>
        <v>7.1787508973438614</v>
      </c>
      <c r="G2" t="s">
        <v>10</v>
      </c>
    </row>
    <row r="3" spans="1:8" x14ac:dyDescent="0.2">
      <c r="A3" t="s">
        <v>12</v>
      </c>
      <c r="B3">
        <v>16</v>
      </c>
      <c r="C3" t="s">
        <v>9</v>
      </c>
      <c r="D3" s="2">
        <f>7.23*B3/1000</f>
        <v>0.11568000000000001</v>
      </c>
      <c r="E3">
        <v>1</v>
      </c>
      <c r="F3" s="2">
        <f t="shared" si="0"/>
        <v>8.6445366528354075</v>
      </c>
      <c r="G3" t="s">
        <v>10</v>
      </c>
      <c r="H3" t="s">
        <v>13</v>
      </c>
    </row>
    <row r="4" spans="1:8" x14ac:dyDescent="0.2">
      <c r="A4" t="s">
        <v>14</v>
      </c>
      <c r="B4">
        <v>700</v>
      </c>
      <c r="C4" t="s">
        <v>9</v>
      </c>
      <c r="D4" s="2">
        <f>(4+0.5)/2.46*B4/1000</f>
        <v>1.2804878048780488</v>
      </c>
      <c r="E4">
        <v>6</v>
      </c>
      <c r="F4" s="2">
        <f t="shared" si="0"/>
        <v>4.6857142857142859</v>
      </c>
      <c r="G4" t="s">
        <v>15</v>
      </c>
    </row>
    <row r="5" spans="1:8" x14ac:dyDescent="0.2">
      <c r="A5" t="s">
        <v>16</v>
      </c>
      <c r="B5">
        <v>250</v>
      </c>
      <c r="C5" t="s">
        <v>9</v>
      </c>
      <c r="D5" s="2">
        <f>1.89*B5/1000</f>
        <v>0.47249999999999998</v>
      </c>
      <c r="E5">
        <v>2</v>
      </c>
      <c r="F5" s="2">
        <f t="shared" si="0"/>
        <v>4.2328042328042335</v>
      </c>
      <c r="G5" t="s">
        <v>10</v>
      </c>
      <c r="H5" t="s">
        <v>17</v>
      </c>
    </row>
    <row r="6" spans="1:8" x14ac:dyDescent="0.2">
      <c r="A6" t="s">
        <v>18</v>
      </c>
      <c r="B6">
        <v>500</v>
      </c>
      <c r="C6" t="s">
        <v>9</v>
      </c>
      <c r="D6" s="2">
        <f>2.19/0.5*B6/1000</f>
        <v>2.19</v>
      </c>
      <c r="E6">
        <v>8</v>
      </c>
      <c r="F6" s="2">
        <f t="shared" si="0"/>
        <v>3.6529680365296806</v>
      </c>
      <c r="G6" t="s">
        <v>15</v>
      </c>
    </row>
    <row r="7" spans="1:8" x14ac:dyDescent="0.2">
      <c r="A7" t="s">
        <v>48</v>
      </c>
      <c r="B7">
        <v>800</v>
      </c>
      <c r="C7" t="s">
        <v>9</v>
      </c>
      <c r="D7" s="2">
        <f>1.29/0.7*B7/1000</f>
        <v>1.4742857142857144</v>
      </c>
      <c r="E7">
        <v>3</v>
      </c>
      <c r="F7" s="2">
        <f t="shared" si="0"/>
        <v>2.0348837209302322</v>
      </c>
      <c r="G7" t="s">
        <v>15</v>
      </c>
    </row>
    <row r="8" spans="1:8" x14ac:dyDescent="0.2">
      <c r="A8" t="s">
        <v>8</v>
      </c>
      <c r="B8">
        <v>0</v>
      </c>
      <c r="C8" t="s">
        <v>9</v>
      </c>
      <c r="D8" s="2">
        <f>17.9*B8/1000</f>
        <v>0</v>
      </c>
      <c r="E8">
        <v>1</v>
      </c>
      <c r="F8" s="2">
        <f t="shared" si="0"/>
        <v>0</v>
      </c>
      <c r="G8" t="s">
        <v>10</v>
      </c>
    </row>
    <row r="9" spans="1:8" x14ac:dyDescent="0.2">
      <c r="A9" t="s">
        <v>22</v>
      </c>
      <c r="B9">
        <v>1</v>
      </c>
      <c r="C9" t="s">
        <v>20</v>
      </c>
      <c r="D9" s="2">
        <f>2/20*B9</f>
        <v>0.1</v>
      </c>
      <c r="E9">
        <v>0</v>
      </c>
      <c r="F9" s="2">
        <f t="shared" si="0"/>
        <v>0</v>
      </c>
      <c r="G9" t="s">
        <v>23</v>
      </c>
    </row>
    <row r="10" spans="1:8" x14ac:dyDescent="0.2">
      <c r="A10" t="s">
        <v>24</v>
      </c>
      <c r="B10">
        <v>4</v>
      </c>
      <c r="C10" t="s">
        <v>9</v>
      </c>
      <c r="D10" s="2">
        <f>20.99*B10/1000</f>
        <v>8.3959999999999993E-2</v>
      </c>
      <c r="E10">
        <v>0</v>
      </c>
      <c r="F10" s="2">
        <f t="shared" si="0"/>
        <v>0</v>
      </c>
      <c r="G10" t="s">
        <v>10</v>
      </c>
      <c r="H10" t="s">
        <v>13</v>
      </c>
    </row>
    <row r="11" spans="1:8" x14ac:dyDescent="0.2">
      <c r="A11" t="s">
        <v>19</v>
      </c>
      <c r="B11">
        <f>(5*2+2)/7</f>
        <v>1.7142857142857142</v>
      </c>
      <c r="C11" t="s">
        <v>20</v>
      </c>
      <c r="D11" s="2">
        <f>0.99*B11</f>
        <v>1.6971428571428571</v>
      </c>
      <c r="E11">
        <v>2</v>
      </c>
      <c r="F11" s="2">
        <f t="shared" si="0"/>
        <v>1.1784511784511784</v>
      </c>
      <c r="G11" t="s">
        <v>15</v>
      </c>
      <c r="H11" t="s">
        <v>21</v>
      </c>
    </row>
    <row r="12" spans="1:8" x14ac:dyDescent="0.2">
      <c r="A12" t="s">
        <v>29</v>
      </c>
      <c r="B12">
        <v>0</v>
      </c>
      <c r="C12" t="s">
        <v>9</v>
      </c>
      <c r="D12" s="2">
        <f>11*B12/1000</f>
        <v>0</v>
      </c>
      <c r="E12">
        <v>0</v>
      </c>
      <c r="F12" s="2">
        <f t="shared" si="0"/>
        <v>0</v>
      </c>
      <c r="G12" t="s">
        <v>10</v>
      </c>
      <c r="H12" t="s">
        <v>30</v>
      </c>
    </row>
    <row r="13" spans="1:8" x14ac:dyDescent="0.2">
      <c r="B13" s="3"/>
      <c r="C13" s="3"/>
      <c r="D13" s="4">
        <f>SUM(D2:D12)</f>
        <v>7.97125637630662</v>
      </c>
      <c r="E13" s="4">
        <f>SUM(E2:E12)</f>
        <v>27</v>
      </c>
      <c r="F13" s="4">
        <f t="shared" si="0"/>
        <v>3.3871699422757877</v>
      </c>
    </row>
    <row r="1048573" ht="12.75" customHeight="1" x14ac:dyDescent="0.2"/>
    <row r="1048574" ht="12.75" customHeight="1" x14ac:dyDescent="0.2"/>
  </sheetData>
  <autoFilter ref="A1:H12" xr:uid="{00000000-0009-0000-0000-000001000000}">
    <sortState xmlns:xlrd2="http://schemas.microsoft.com/office/spreadsheetml/2017/richdata2" ref="A2:H12">
      <sortCondition descending="1" ref="F1:F12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48576"/>
  <sheetViews>
    <sheetView zoomScale="200" zoomScaleNormal="200" workbookViewId="0">
      <selection activeCell="A12" sqref="A12"/>
    </sheetView>
  </sheetViews>
  <sheetFormatPr baseColWidth="10" defaultColWidth="8.83203125" defaultRowHeight="15" customHeight="1" x14ac:dyDescent="0.2"/>
  <cols>
    <col min="1" max="1" width="65.1640625" customWidth="1"/>
    <col min="2" max="2" width="4.6640625" customWidth="1"/>
    <col min="3" max="3" width="5.33203125" customWidth="1"/>
    <col min="4" max="4" width="5.1640625" customWidth="1"/>
    <col min="5" max="6" width="6.33203125" customWidth="1"/>
    <col min="7" max="7" width="10.1640625" customWidth="1"/>
    <col min="8" max="8" width="21.6640625" customWidth="1"/>
  </cols>
  <sheetData>
    <row r="1" spans="1:8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11</v>
      </c>
      <c r="B2">
        <v>140</v>
      </c>
      <c r="C2" t="s">
        <v>9</v>
      </c>
      <c r="D2" s="2">
        <f>1.99/0.5*B2/1000</f>
        <v>0.55720000000000003</v>
      </c>
      <c r="E2">
        <v>4</v>
      </c>
      <c r="F2" s="2">
        <f t="shared" ref="F2:F12" si="0">IF(D2&gt;0, E2/D2, 0)</f>
        <v>7.1787508973438614</v>
      </c>
      <c r="G2" t="s">
        <v>10</v>
      </c>
    </row>
    <row r="3" spans="1:8" x14ac:dyDescent="0.2">
      <c r="A3" t="s">
        <v>8</v>
      </c>
      <c r="B3">
        <v>4</v>
      </c>
      <c r="C3" t="s">
        <v>9</v>
      </c>
      <c r="D3" s="2">
        <f>17.9*B3/1000</f>
        <v>7.1599999999999997E-2</v>
      </c>
      <c r="E3">
        <v>1</v>
      </c>
      <c r="F3" s="2">
        <f t="shared" si="0"/>
        <v>13.966480446927374</v>
      </c>
      <c r="G3" t="s">
        <v>10</v>
      </c>
    </row>
    <row r="4" spans="1:8" x14ac:dyDescent="0.2">
      <c r="A4" t="s">
        <v>24</v>
      </c>
      <c r="B4">
        <v>4</v>
      </c>
      <c r="C4" t="s">
        <v>9</v>
      </c>
      <c r="D4" s="2">
        <f>20.99*B4/1000</f>
        <v>8.3959999999999993E-2</v>
      </c>
      <c r="E4">
        <v>1</v>
      </c>
      <c r="F4" s="2">
        <f t="shared" si="0"/>
        <v>11.910433539780849</v>
      </c>
      <c r="G4" t="s">
        <v>10</v>
      </c>
      <c r="H4" t="s">
        <v>13</v>
      </c>
    </row>
    <row r="5" spans="1:8" x14ac:dyDescent="0.2">
      <c r="A5" t="s">
        <v>14</v>
      </c>
      <c r="B5">
        <v>600</v>
      </c>
      <c r="C5" t="s">
        <v>9</v>
      </c>
      <c r="D5" s="2">
        <f>(4+0.5)/2.46*B5/1000</f>
        <v>1.097560975609756</v>
      </c>
      <c r="E5">
        <v>8</v>
      </c>
      <c r="F5" s="2">
        <f t="shared" si="0"/>
        <v>7.2888888888888896</v>
      </c>
      <c r="G5" t="s">
        <v>15</v>
      </c>
    </row>
    <row r="6" spans="1:8" x14ac:dyDescent="0.2">
      <c r="A6" t="s">
        <v>16</v>
      </c>
      <c r="B6">
        <v>250</v>
      </c>
      <c r="C6" t="s">
        <v>9</v>
      </c>
      <c r="D6" s="2">
        <f>1.89*B6/1000</f>
        <v>0.47249999999999998</v>
      </c>
      <c r="E6">
        <v>2</v>
      </c>
      <c r="F6" s="2">
        <f t="shared" si="0"/>
        <v>4.2328042328042335</v>
      </c>
      <c r="G6" t="s">
        <v>10</v>
      </c>
      <c r="H6" t="s">
        <v>17</v>
      </c>
    </row>
    <row r="7" spans="1:8" x14ac:dyDescent="0.2">
      <c r="A7" t="s">
        <v>18</v>
      </c>
      <c r="B7">
        <v>500</v>
      </c>
      <c r="C7" t="s">
        <v>9</v>
      </c>
      <c r="D7" s="2">
        <f>2.19/0.5*B7/1000</f>
        <v>2.19</v>
      </c>
      <c r="E7">
        <v>8</v>
      </c>
      <c r="F7" s="2">
        <f t="shared" si="0"/>
        <v>3.6529680365296806</v>
      </c>
      <c r="G7" t="s">
        <v>15</v>
      </c>
    </row>
    <row r="8" spans="1:8" x14ac:dyDescent="0.2">
      <c r="A8" t="s">
        <v>48</v>
      </c>
      <c r="B8">
        <v>1000</v>
      </c>
      <c r="C8" t="s">
        <v>9</v>
      </c>
      <c r="D8" s="2">
        <f>1.29/0.7*B8/1000</f>
        <v>1.842857142857143</v>
      </c>
      <c r="E8">
        <v>3</v>
      </c>
      <c r="F8" s="2">
        <f t="shared" si="0"/>
        <v>1.6279069767441861</v>
      </c>
      <c r="G8" t="s">
        <v>15</v>
      </c>
    </row>
    <row r="9" spans="1:8" x14ac:dyDescent="0.2">
      <c r="A9" t="s">
        <v>22</v>
      </c>
      <c r="B9">
        <v>1</v>
      </c>
      <c r="C9" t="s">
        <v>20</v>
      </c>
      <c r="D9" s="2">
        <f>2/20*B9</f>
        <v>0.1</v>
      </c>
      <c r="E9">
        <v>0</v>
      </c>
      <c r="F9" s="2">
        <f t="shared" si="0"/>
        <v>0</v>
      </c>
      <c r="G9" t="s">
        <v>23</v>
      </c>
    </row>
    <row r="10" spans="1:8" x14ac:dyDescent="0.2">
      <c r="A10" t="s">
        <v>12</v>
      </c>
      <c r="B10">
        <v>16</v>
      </c>
      <c r="C10" t="s">
        <v>9</v>
      </c>
      <c r="D10" s="2">
        <f>7.23*B10/1000</f>
        <v>0.11568000000000001</v>
      </c>
      <c r="E10">
        <v>0</v>
      </c>
      <c r="F10" s="2">
        <f t="shared" si="0"/>
        <v>0</v>
      </c>
      <c r="G10" t="s">
        <v>10</v>
      </c>
      <c r="H10" t="s">
        <v>13</v>
      </c>
    </row>
    <row r="11" spans="1:8" x14ac:dyDescent="0.2">
      <c r="A11" t="s">
        <v>29</v>
      </c>
      <c r="B11">
        <v>4</v>
      </c>
      <c r="C11" t="s">
        <v>9</v>
      </c>
      <c r="D11" s="2">
        <f>11*B11/1000</f>
        <v>4.3999999999999997E-2</v>
      </c>
      <c r="E11">
        <v>0</v>
      </c>
      <c r="F11" s="2">
        <f t="shared" si="0"/>
        <v>0</v>
      </c>
      <c r="G11" t="s">
        <v>10</v>
      </c>
      <c r="H11" t="s">
        <v>30</v>
      </c>
    </row>
    <row r="12" spans="1:8" ht="15" customHeight="1" x14ac:dyDescent="0.2">
      <c r="D12" s="4">
        <f>SUM(D2:D11)</f>
        <v>6.5753581184668981</v>
      </c>
      <c r="E12" s="4">
        <f>SUM(E2:E11)</f>
        <v>27</v>
      </c>
      <c r="F12" s="4">
        <f t="shared" si="0"/>
        <v>4.1062402250259922</v>
      </c>
    </row>
    <row r="15" spans="1:8" x14ac:dyDescent="0.2">
      <c r="B15" s="3"/>
      <c r="C15" s="3"/>
    </row>
    <row r="1048573" ht="12.75" customHeight="1" x14ac:dyDescent="0.2"/>
    <row r="1048574" ht="12.75" customHeight="1" x14ac:dyDescent="0.2"/>
    <row r="1048575" ht="12.75" customHeight="1" x14ac:dyDescent="0.2"/>
    <row r="1048576" ht="12.75" customHeight="1" x14ac:dyDescent="0.2"/>
  </sheetData>
  <autoFilter ref="A1:H12" xr:uid="{00000000-0009-0000-0000-000002000000}">
    <sortState xmlns:xlrd2="http://schemas.microsoft.com/office/spreadsheetml/2017/richdata2" ref="A2:H12">
      <sortCondition descending="1" ref="F1:F12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48576"/>
  <sheetViews>
    <sheetView zoomScale="200" zoomScaleNormal="200" workbookViewId="0">
      <selection activeCell="D2" sqref="D2"/>
    </sheetView>
  </sheetViews>
  <sheetFormatPr baseColWidth="10" defaultColWidth="8.83203125" defaultRowHeight="15" customHeight="1" x14ac:dyDescent="0.2"/>
  <cols>
    <col min="1" max="1" width="55.33203125" customWidth="1"/>
    <col min="2" max="2" width="4.6640625" customWidth="1"/>
    <col min="3" max="3" width="5.33203125" customWidth="1"/>
    <col min="4" max="4" width="5.1640625" customWidth="1"/>
    <col min="5" max="6" width="6.33203125" customWidth="1"/>
    <col min="7" max="7" width="11.33203125" customWidth="1"/>
    <col min="8" max="8" width="21.6640625" customWidth="1"/>
  </cols>
  <sheetData>
    <row r="1" spans="1:8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11</v>
      </c>
      <c r="B2">
        <v>140</v>
      </c>
      <c r="C2" t="s">
        <v>9</v>
      </c>
      <c r="D2" s="2">
        <f>1.99/0.5*B2/1000</f>
        <v>0.55720000000000003</v>
      </c>
      <c r="E2">
        <v>4</v>
      </c>
      <c r="F2" s="2">
        <f t="shared" ref="F2:F11" si="0">IF(D2&gt;0, E2/D2, 0)</f>
        <v>7.1787508973438614</v>
      </c>
      <c r="G2" t="s">
        <v>10</v>
      </c>
    </row>
    <row r="3" spans="1:8" x14ac:dyDescent="0.2">
      <c r="A3" t="s">
        <v>8</v>
      </c>
      <c r="B3">
        <v>4</v>
      </c>
      <c r="C3" t="s">
        <v>9</v>
      </c>
      <c r="D3" s="2">
        <f>17.9*B3/1000</f>
        <v>7.1599999999999997E-2</v>
      </c>
      <c r="E3">
        <v>1</v>
      </c>
      <c r="F3" s="2">
        <f t="shared" si="0"/>
        <v>13.966480446927374</v>
      </c>
      <c r="G3" t="s">
        <v>10</v>
      </c>
    </row>
    <row r="4" spans="1:8" x14ac:dyDescent="0.2">
      <c r="A4" t="s">
        <v>12</v>
      </c>
      <c r="B4">
        <v>16</v>
      </c>
      <c r="C4" t="s">
        <v>9</v>
      </c>
      <c r="D4" s="2">
        <f>7.23*B4/1000</f>
        <v>0.11568000000000001</v>
      </c>
      <c r="E4">
        <v>1</v>
      </c>
      <c r="F4" s="2">
        <f t="shared" si="0"/>
        <v>8.6445366528354075</v>
      </c>
      <c r="G4" t="s">
        <v>10</v>
      </c>
      <c r="H4" t="s">
        <v>13</v>
      </c>
    </row>
    <row r="5" spans="1:8" x14ac:dyDescent="0.2">
      <c r="A5" t="s">
        <v>14</v>
      </c>
      <c r="B5">
        <v>800</v>
      </c>
      <c r="C5" t="s">
        <v>9</v>
      </c>
      <c r="D5" s="2">
        <f>(4+0.5)/2.46*B5/1000</f>
        <v>1.4634146341463414</v>
      </c>
      <c r="E5">
        <v>9</v>
      </c>
      <c r="F5" s="2">
        <f t="shared" si="0"/>
        <v>6.15</v>
      </c>
      <c r="G5" t="s">
        <v>15</v>
      </c>
    </row>
    <row r="6" spans="1:8" x14ac:dyDescent="0.2">
      <c r="A6" t="s">
        <v>18</v>
      </c>
      <c r="B6">
        <v>500</v>
      </c>
      <c r="C6" t="s">
        <v>9</v>
      </c>
      <c r="D6" s="2">
        <f>2.19/0.5*B6/1000</f>
        <v>2.19</v>
      </c>
      <c r="E6">
        <v>10</v>
      </c>
      <c r="F6" s="2">
        <f t="shared" si="0"/>
        <v>4.5662100456621006</v>
      </c>
      <c r="G6" t="s">
        <v>15</v>
      </c>
    </row>
    <row r="7" spans="1:8" x14ac:dyDescent="0.2">
      <c r="A7" t="s">
        <v>48</v>
      </c>
      <c r="B7">
        <v>1000</v>
      </c>
      <c r="C7" t="s">
        <v>9</v>
      </c>
      <c r="D7" s="2">
        <f>1.29/0.7*B7/1000</f>
        <v>1.842857142857143</v>
      </c>
      <c r="E7">
        <v>4</v>
      </c>
      <c r="F7" s="2">
        <f t="shared" si="0"/>
        <v>2.1705426356589146</v>
      </c>
      <c r="G7" t="s">
        <v>15</v>
      </c>
    </row>
    <row r="8" spans="1:8" x14ac:dyDescent="0.2">
      <c r="A8" t="s">
        <v>22</v>
      </c>
      <c r="B8">
        <v>1</v>
      </c>
      <c r="C8" t="s">
        <v>20</v>
      </c>
      <c r="D8" s="2">
        <f>2/20*B8</f>
        <v>0.1</v>
      </c>
      <c r="E8">
        <v>0</v>
      </c>
      <c r="F8" s="2">
        <f t="shared" si="0"/>
        <v>0</v>
      </c>
      <c r="G8" t="s">
        <v>23</v>
      </c>
    </row>
    <row r="9" spans="1:8" x14ac:dyDescent="0.2">
      <c r="A9" t="s">
        <v>24</v>
      </c>
      <c r="B9">
        <v>4</v>
      </c>
      <c r="C9" t="s">
        <v>9</v>
      </c>
      <c r="D9" s="2">
        <f>20.99*B9/1000</f>
        <v>8.3959999999999993E-2</v>
      </c>
      <c r="E9">
        <v>0</v>
      </c>
      <c r="F9" s="2">
        <f t="shared" si="0"/>
        <v>0</v>
      </c>
      <c r="G9" t="s">
        <v>10</v>
      </c>
      <c r="H9" t="s">
        <v>13</v>
      </c>
    </row>
    <row r="10" spans="1:8" x14ac:dyDescent="0.2">
      <c r="A10" t="s">
        <v>29</v>
      </c>
      <c r="B10">
        <v>4</v>
      </c>
      <c r="C10" t="s">
        <v>9</v>
      </c>
      <c r="D10" s="2">
        <f>11*B10/1000</f>
        <v>4.3999999999999997E-2</v>
      </c>
      <c r="E10">
        <v>0</v>
      </c>
      <c r="F10" s="2">
        <f t="shared" si="0"/>
        <v>0</v>
      </c>
      <c r="G10" t="s">
        <v>10</v>
      </c>
      <c r="H10" t="s">
        <v>30</v>
      </c>
    </row>
    <row r="11" spans="1:8" x14ac:dyDescent="0.2">
      <c r="B11" s="3"/>
      <c r="C11" s="3"/>
      <c r="D11" s="4">
        <f>SUM(D2:D10)</f>
        <v>6.4687117770034845</v>
      </c>
      <c r="E11" s="4">
        <f>SUM(E2:E10)</f>
        <v>29</v>
      </c>
      <c r="F11" s="4">
        <f t="shared" si="0"/>
        <v>4.4831182775983462</v>
      </c>
    </row>
    <row r="12" spans="1:8" ht="15" customHeight="1" x14ac:dyDescent="0.2">
      <c r="F12" s="5"/>
    </row>
    <row r="1048572" ht="12.75" customHeight="1" x14ac:dyDescent="0.2"/>
    <row r="1048575" ht="12.75" customHeight="1" x14ac:dyDescent="0.2"/>
    <row r="1048576" ht="12.75" customHeight="1" x14ac:dyDescent="0.2"/>
  </sheetData>
  <autoFilter ref="A1:H11" xr:uid="{00000000-0009-0000-0000-000003000000}">
    <sortState xmlns:xlrd2="http://schemas.microsoft.com/office/spreadsheetml/2017/richdata2" ref="A2:H11">
      <sortCondition descending="1" ref="F1:F11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48576"/>
  <sheetViews>
    <sheetView zoomScale="200" zoomScaleNormal="200" workbookViewId="0">
      <selection activeCell="B9" sqref="B9"/>
    </sheetView>
  </sheetViews>
  <sheetFormatPr baseColWidth="10" defaultColWidth="8.83203125" defaultRowHeight="15" customHeight="1" x14ac:dyDescent="0.2"/>
  <cols>
    <col min="1" max="1" width="48.6640625" customWidth="1"/>
    <col min="2" max="2" width="4.6640625" customWidth="1"/>
    <col min="3" max="3" width="5.33203125" customWidth="1"/>
    <col min="4" max="4" width="6.33203125" customWidth="1"/>
    <col min="5" max="5" width="7.1640625" customWidth="1"/>
    <col min="6" max="6" width="9.6640625" customWidth="1"/>
    <col min="7" max="7" width="12.6640625" customWidth="1"/>
    <col min="8" max="8" width="10.1640625" customWidth="1"/>
  </cols>
  <sheetData>
    <row r="1" spans="1:8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11</v>
      </c>
      <c r="B2">
        <v>140</v>
      </c>
      <c r="C2" t="s">
        <v>9</v>
      </c>
      <c r="D2" s="2">
        <f>1.99/0.5*B2/1000</f>
        <v>0.55720000000000003</v>
      </c>
      <c r="E2">
        <v>5</v>
      </c>
      <c r="F2" s="2">
        <f t="shared" ref="F2:F8" si="0">IF(D2&gt;0, E2/D2, 0)</f>
        <v>8.9734386216798274</v>
      </c>
      <c r="G2" t="s">
        <v>10</v>
      </c>
    </row>
    <row r="3" spans="1:8" x14ac:dyDescent="0.2">
      <c r="A3" t="s">
        <v>8</v>
      </c>
      <c r="B3">
        <v>16</v>
      </c>
      <c r="C3" t="s">
        <v>9</v>
      </c>
      <c r="D3" s="2">
        <f>17.9*B3/1000</f>
        <v>0.28639999999999999</v>
      </c>
      <c r="E3">
        <v>2</v>
      </c>
      <c r="F3" s="2">
        <f t="shared" si="0"/>
        <v>6.983240223463687</v>
      </c>
      <c r="G3" t="s">
        <v>10</v>
      </c>
    </row>
    <row r="4" spans="1:8" x14ac:dyDescent="0.2">
      <c r="A4" t="s">
        <v>14</v>
      </c>
      <c r="B4">
        <v>800</v>
      </c>
      <c r="C4" t="s">
        <v>9</v>
      </c>
      <c r="D4" s="2">
        <f>(4+0.5)/2.46*B4/1000</f>
        <v>1.4634146341463414</v>
      </c>
      <c r="E4">
        <v>10</v>
      </c>
      <c r="F4" s="2">
        <f t="shared" si="0"/>
        <v>6.8333333333333339</v>
      </c>
      <c r="G4" t="s">
        <v>15</v>
      </c>
    </row>
    <row r="5" spans="1:8" x14ac:dyDescent="0.2">
      <c r="A5" t="s">
        <v>18</v>
      </c>
      <c r="B5">
        <v>500</v>
      </c>
      <c r="C5" t="s">
        <v>9</v>
      </c>
      <c r="D5" s="2">
        <f>2.19/0.5*B5/1000</f>
        <v>2.19</v>
      </c>
      <c r="E5">
        <v>9</v>
      </c>
      <c r="F5" s="2">
        <f t="shared" si="0"/>
        <v>4.1095890410958908</v>
      </c>
      <c r="G5" t="s">
        <v>15</v>
      </c>
    </row>
    <row r="6" spans="1:8" x14ac:dyDescent="0.2">
      <c r="A6" t="s">
        <v>48</v>
      </c>
      <c r="B6">
        <v>1000</v>
      </c>
      <c r="C6" t="s">
        <v>9</v>
      </c>
      <c r="D6" s="2">
        <f>1.29/0.7*B6/1000</f>
        <v>1.842857142857143</v>
      </c>
      <c r="E6">
        <v>5</v>
      </c>
      <c r="F6" s="2">
        <f t="shared" si="0"/>
        <v>2.7131782945736433</v>
      </c>
      <c r="G6" t="s">
        <v>15</v>
      </c>
    </row>
    <row r="7" spans="1:8" x14ac:dyDescent="0.2">
      <c r="A7" t="s">
        <v>22</v>
      </c>
      <c r="B7">
        <v>1</v>
      </c>
      <c r="C7" t="s">
        <v>20</v>
      </c>
      <c r="D7" s="2">
        <f>2/20*B7</f>
        <v>0.1</v>
      </c>
      <c r="E7">
        <v>0</v>
      </c>
      <c r="F7" s="2">
        <f t="shared" si="0"/>
        <v>0</v>
      </c>
      <c r="G7" t="s">
        <v>23</v>
      </c>
    </row>
    <row r="8" spans="1:8" x14ac:dyDescent="0.2">
      <c r="B8" s="3"/>
      <c r="C8" s="3"/>
      <c r="D8" s="4">
        <f>SUM(D2:D7)</f>
        <v>6.4398717770034839</v>
      </c>
      <c r="E8" s="4">
        <f>SUM(E2:E7)</f>
        <v>31</v>
      </c>
      <c r="F8" s="4">
        <f t="shared" si="0"/>
        <v>4.8137604401844953</v>
      </c>
    </row>
    <row r="9" spans="1:8" ht="15" customHeight="1" x14ac:dyDescent="0.2">
      <c r="F9" s="5"/>
    </row>
    <row r="10" spans="1:8" ht="15" customHeight="1" x14ac:dyDescent="0.2">
      <c r="F10" s="5"/>
    </row>
    <row r="1048569" ht="12.75" customHeight="1" x14ac:dyDescent="0.2"/>
    <row r="1048570" ht="12.75" customHeight="1" x14ac:dyDescent="0.2"/>
    <row r="1048571" ht="12.75" customHeight="1" x14ac:dyDescent="0.2"/>
    <row r="1048572" ht="12.75" customHeight="1" x14ac:dyDescent="0.2"/>
    <row r="1048573" ht="12.75" customHeight="1" x14ac:dyDescent="0.2"/>
    <row r="1048574" ht="12.75" customHeight="1" x14ac:dyDescent="0.2"/>
    <row r="1048576" ht="12.75" customHeight="1" x14ac:dyDescent="0.2"/>
  </sheetData>
  <autoFilter ref="A1:H8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6"/>
  <sheetViews>
    <sheetView tabSelected="1" zoomScale="200" zoomScaleNormal="200" workbookViewId="0">
      <selection activeCell="G6" sqref="G6"/>
    </sheetView>
  </sheetViews>
  <sheetFormatPr baseColWidth="10" defaultColWidth="10.1640625" defaultRowHeight="12.75" customHeight="1" x14ac:dyDescent="0.2"/>
  <cols>
    <col min="1" max="1" width="6" customWidth="1"/>
    <col min="2" max="2" width="11" customWidth="1"/>
    <col min="3" max="3" width="22.6640625" customWidth="1"/>
    <col min="4" max="4" width="4.83203125" customWidth="1"/>
    <col min="5" max="5" width="5.5" customWidth="1"/>
    <col min="6" max="6" width="11" style="6" customWidth="1"/>
    <col min="7" max="7" width="6.5" style="7" customWidth="1"/>
  </cols>
  <sheetData>
    <row r="1" spans="1:7" s="9" customFormat="1" ht="15" x14ac:dyDescent="0.2">
      <c r="A1" s="8" t="s">
        <v>31</v>
      </c>
      <c r="B1" s="8" t="s">
        <v>32</v>
      </c>
      <c r="C1" s="8" t="s">
        <v>33</v>
      </c>
      <c r="D1" s="8" t="s">
        <v>1</v>
      </c>
      <c r="E1" s="8" t="s">
        <v>2</v>
      </c>
      <c r="F1" s="8" t="s">
        <v>34</v>
      </c>
      <c r="G1" s="8" t="s">
        <v>35</v>
      </c>
    </row>
    <row r="2" spans="1:7" ht="15" x14ac:dyDescent="0.2">
      <c r="A2" t="s">
        <v>36</v>
      </c>
      <c r="B2" s="6">
        <v>45989</v>
      </c>
      <c r="C2" t="s">
        <v>39</v>
      </c>
      <c r="D2">
        <f>1.15+0.05</f>
        <v>1.2</v>
      </c>
      <c r="E2" t="s">
        <v>40</v>
      </c>
      <c r="F2" s="6">
        <f>"4/12/2025"+D2/0.06</f>
        <v>46015</v>
      </c>
      <c r="G2" s="7">
        <f>Fase1!D$15</f>
        <v>8.6547358188153325</v>
      </c>
    </row>
    <row r="3" spans="1:7" ht="15" x14ac:dyDescent="0.2">
      <c r="A3" t="s">
        <v>38</v>
      </c>
      <c r="B3" s="6">
        <f>F2+1</f>
        <v>46016</v>
      </c>
      <c r="C3" t="s">
        <v>37</v>
      </c>
      <c r="D3">
        <f>29+11</f>
        <v>40</v>
      </c>
      <c r="E3" t="s">
        <v>20</v>
      </c>
      <c r="F3" s="6">
        <f>"3/12/2025"+D3/(12/7)</f>
        <v>46017.333333333336</v>
      </c>
      <c r="G3" s="7">
        <f>Fase2!D$13</f>
        <v>7.97125637630662</v>
      </c>
    </row>
    <row r="4" spans="1:7" ht="15" x14ac:dyDescent="0.2">
      <c r="A4" t="s">
        <v>41</v>
      </c>
      <c r="B4" s="6">
        <f>F3+1</f>
        <v>46018.333333333336</v>
      </c>
      <c r="C4" t="s">
        <v>42</v>
      </c>
      <c r="D4">
        <v>6</v>
      </c>
      <c r="E4" t="s">
        <v>43</v>
      </c>
      <c r="F4" s="6">
        <f>"4/12/2025"+D4/0.25</f>
        <v>46019</v>
      </c>
      <c r="G4" s="7">
        <f>Fase3!D12</f>
        <v>6.5753581184668981</v>
      </c>
    </row>
    <row r="5" spans="1:7" ht="15" x14ac:dyDescent="0.2">
      <c r="A5" t="s">
        <v>44</v>
      </c>
      <c r="B5" s="6">
        <f>F4+1</f>
        <v>46020</v>
      </c>
      <c r="C5" t="s">
        <v>45</v>
      </c>
      <c r="D5">
        <v>0.6</v>
      </c>
      <c r="E5" t="s">
        <v>40</v>
      </c>
      <c r="F5" s="6">
        <f>"4/12/2025"+D5/0.02</f>
        <v>46025</v>
      </c>
      <c r="G5" s="7">
        <f>Fase4!D11</f>
        <v>6.4687117770034845</v>
      </c>
    </row>
    <row r="6" spans="1:7" ht="15" x14ac:dyDescent="0.2">
      <c r="A6" t="s">
        <v>46</v>
      </c>
      <c r="B6" s="6">
        <f>F5+1</f>
        <v>46026</v>
      </c>
      <c r="C6" t="s">
        <v>47</v>
      </c>
      <c r="F6" s="6">
        <v>47483</v>
      </c>
      <c r="G6" s="7">
        <f>Fase5!D8</f>
        <v>6.4398717770034839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369</TotalTime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Fase1</vt:lpstr>
      <vt:lpstr>Fase2</vt:lpstr>
      <vt:lpstr>Fase3</vt:lpstr>
      <vt:lpstr>Fase4</vt:lpstr>
      <vt:lpstr>Fase5</vt:lpstr>
      <vt:lpstr>Timeline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Adalberto Caccia</cp:lastModifiedBy>
  <cp:revision>10</cp:revision>
  <dcterms:created xsi:type="dcterms:W3CDTF">2025-11-20T10:33:39Z</dcterms:created>
  <dcterms:modified xsi:type="dcterms:W3CDTF">2025-12-17T11:21:02Z</dcterms:modified>
  <dc:language>it-IT</dc:language>
</cp:coreProperties>
</file>
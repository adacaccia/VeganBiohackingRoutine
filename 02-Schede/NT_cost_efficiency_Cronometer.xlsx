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se1" sheetId="1" state="visible" r:id="rId3"/>
    <sheet name="Fase2" sheetId="2" state="visible" r:id="rId4"/>
    <sheet name="Fase3" sheetId="3" state="visible" r:id="rId5"/>
    <sheet name="Fase4" sheetId="4" state="visible" r:id="rId6"/>
    <sheet name="Fase5" sheetId="5" state="visible" r:id="rId7"/>
    <sheet name="Timeline" sheetId="6" state="visible" r:id="rId8"/>
  </sheets>
  <definedNames>
    <definedName function="false" hidden="true" localSheetId="0" name="_xlnm._FilterDatabase" vbProcedure="false">Fase1!$A$1:$H$14</definedName>
    <definedName function="false" hidden="true" localSheetId="1" name="_xlnm._FilterDatabase" vbProcedure="false">Fase2!$A$1:$H$12</definedName>
    <definedName function="false" hidden="true" localSheetId="2" name="_xlnm._FilterDatabase" vbProcedure="false">Fase3!$A$1:$H$15</definedName>
    <definedName function="false" hidden="true" localSheetId="3" name="_xlnm._FilterDatabase" vbProcedure="false">Fase4!$A$1:$H$11</definedName>
    <definedName function="false" hidden="true" localSheetId="4" name="_xlnm._FilterDatabase" vbProcedure="false">Fase5!$A$1:$H$8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<sst xmlns="http://schemas.openxmlformats.org/spreadsheetml/2006/main" count="227" uniqueCount="49">
  <si>
    <t xml:space="preserve">Food</t>
  </si>
  <si>
    <t xml:space="preserve">Q</t>
  </si>
  <si>
    <t xml:space="preserve">Unit</t>
  </si>
  <si>
    <t xml:space="preserve">€</t>
  </si>
  <si>
    <t xml:space="preserve">%NT</t>
  </si>
  <si>
    <t xml:space="preserve">NT/€</t>
  </si>
  <si>
    <t xml:space="preserve">Meal</t>
  </si>
  <si>
    <t xml:space="preserve">Notes</t>
  </si>
  <si>
    <t xml:space="preserve">Rolled Oats, dry</t>
  </si>
  <si>
    <t xml:space="preserve">g</t>
  </si>
  <si>
    <t xml:space="preserve">Colazione</t>
  </si>
  <si>
    <t xml:space="preserve">Seeds, Flaxseed</t>
  </si>
  <si>
    <t xml:space="preserve">Elimination candidate: 4</t>
  </si>
  <si>
    <t xml:space="preserve">Chickpeas, dry, home soaked and cooked, no salt [AMC]</t>
  </si>
  <si>
    <t xml:space="preserve">Mattina</t>
  </si>
  <si>
    <t xml:space="preserve">Soy Milk, Plain or Original, Sweetened with Sugar, Ready-to-Drink, Enriched</t>
  </si>
  <si>
    <t xml:space="preserve">Elimination candidate: 5</t>
  </si>
  <si>
    <t xml:space="preserve">Cirio "Passata Verace" [AMC]</t>
  </si>
  <si>
    <t xml:space="preserve">Spinach, raw</t>
  </si>
  <si>
    <t xml:space="preserve">fit&amp;pro Vegan Protein Bar low sugar Lemon</t>
  </si>
  <si>
    <t xml:space="preserve">each</t>
  </si>
  <si>
    <t xml:space="preserve">Elimination candidate: 2</t>
  </si>
  <si>
    <t xml:space="preserve">Walnuts</t>
  </si>
  <si>
    <t xml:space="preserve">Sir Winston - Pure Green Tea</t>
  </si>
  <si>
    <t xml:space="preserve">Drink</t>
  </si>
  <si>
    <t xml:space="preserve">Sunfood, Organic Black Seeds Ancient Super Seed Nigella Sativa</t>
  </si>
  <si>
    <t xml:space="preserve">Cacao, Nibs, Raw Organic</t>
  </si>
  <si>
    <t xml:space="preserve">Elimination candidate: 1</t>
  </si>
  <si>
    <t xml:space="preserve">Igart – Pure Dried Cranberries</t>
  </si>
  <si>
    <t xml:space="preserve">Elimination candidate: 3</t>
  </si>
  <si>
    <t xml:space="preserve">Pumpkin or Squash Seeds, Shelled, Unsalted</t>
  </si>
  <si>
    <t xml:space="preserve">Elimination candidate: 6</t>
  </si>
  <si>
    <t xml:space="preserve">Fase</t>
  </si>
  <si>
    <t xml:space="preserve">Inizio fase</t>
  </si>
  <si>
    <t xml:space="preserve">Alimento da terminare</t>
  </si>
  <si>
    <t xml:space="preserve">Termina il</t>
  </si>
  <si>
    <t xml:space="preserve">Costo</t>
  </si>
  <si>
    <t xml:space="preserve">Fase1</t>
  </si>
  <si>
    <t xml:space="preserve">Cacao Nibs + Cranberries</t>
  </si>
  <si>
    <t xml:space="preserve">Kg</t>
  </si>
  <si>
    <t xml:space="preserve">Fase2</t>
  </si>
  <si>
    <t xml:space="preserve">Barrette</t>
  </si>
  <si>
    <t xml:space="preserve">Fase3</t>
  </si>
  <si>
    <t xml:space="preserve">Soy Milk</t>
  </si>
  <si>
    <t xml:space="preserve">liters</t>
  </si>
  <si>
    <t xml:space="preserve">Fase4</t>
  </si>
  <si>
    <t xml:space="preserve">Semi (tutti)</t>
  </si>
  <si>
    <t xml:space="preserve">Fase5</t>
  </si>
  <si>
    <t xml:space="preserve">Nessuno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</si>
</sst>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.00"/>
    <numFmt numFmtId="167" formatCode="0.00"/>
    <numFmt numFmtId="168" formatCode="0.00000"/>
    <numFmt numFmtId="169" formatCode="dd/mm/yyyy"/>
    <numFmt numFmtId="170" formatCode="[$€-410]\ #,##0.00;[RED]\-[$€-410]\ 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slantDashDot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8" activeCellId="0" sqref="A8"/>
    </sheetView>
  </sheetViews>
  <sheetFormatPr defaultColWidth="10.16015625" defaultRowHeight="16.9" customHeight="true" zeroHeight="false" outlineLevelRow="0" outlineLevelCol="0"/>
  <cols>
    <col collapsed="false" customWidth="true" hidden="false" outlineLevel="0" max="1" min="1" style="0" width="65.03"/>
    <col collapsed="false" customWidth="true" hidden="false" outlineLevel="0" max="2" min="2" style="0" width="4.9"/>
    <col collapsed="false" customWidth="true" hidden="false" outlineLevel="0" max="3" min="3" style="0" width="5.22"/>
    <col collapsed="false" customWidth="true" hidden="false" outlineLevel="0" max="4" min="4" style="0" width="4.9"/>
    <col collapsed="false" customWidth="true" hidden="false" outlineLevel="0" max="5" min="5" style="1" width="5.96"/>
    <col collapsed="false" customWidth="true" hidden="false" outlineLevel="0" max="6" min="6" style="0" width="4.9"/>
    <col collapsed="false" customWidth="true" hidden="false" outlineLevel="0" max="7" min="7" style="0" width="9.39"/>
    <col collapsed="false" customWidth="true" hidden="false" outlineLevel="0" max="8" min="8" style="0" width="21.81"/>
  </cols>
  <sheetData>
    <row r="1" customFormat="false" ht="16.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9" hidden="false" customHeight="true" outlineLevel="0" collapsed="false">
      <c r="A2" s="0" t="s">
        <v>8</v>
      </c>
      <c r="B2" s="0" t="n">
        <v>140</v>
      </c>
      <c r="C2" s="0" t="s">
        <v>9</v>
      </c>
      <c r="D2" s="3" t="n">
        <f aca="false">1.99/0.5*B2/1000</f>
        <v>0.5572</v>
      </c>
      <c r="E2" s="1" t="n">
        <v>3</v>
      </c>
      <c r="F2" s="3" t="n">
        <f aca="false">IF(D2&gt;0, E2/D2, 0)</f>
        <v>5.3840631730079</v>
      </c>
      <c r="G2" s="0" t="s">
        <v>10</v>
      </c>
    </row>
    <row r="3" customFormat="false" ht="16.9" hidden="false" customHeight="true" outlineLevel="0" collapsed="false">
      <c r="A3" s="0" t="s">
        <v>11</v>
      </c>
      <c r="B3" s="0" t="n">
        <v>16</v>
      </c>
      <c r="C3" s="0" t="s">
        <v>9</v>
      </c>
      <c r="D3" s="3" t="n">
        <f aca="false">7.23*B3/1000</f>
        <v>0.11568</v>
      </c>
      <c r="E3" s="1" t="n">
        <v>1</v>
      </c>
      <c r="F3" s="3" t="n">
        <f aca="false">IF(D3&gt;0, E3/D3, 0)</f>
        <v>8.64453665283541</v>
      </c>
      <c r="G3" s="0" t="s">
        <v>10</v>
      </c>
      <c r="H3" s="0" t="s">
        <v>12</v>
      </c>
    </row>
    <row r="4" customFormat="false" ht="16.9" hidden="false" customHeight="true" outlineLevel="0" collapsed="false">
      <c r="A4" s="0" t="s">
        <v>13</v>
      </c>
      <c r="B4" s="0" t="n">
        <f aca="false">650</f>
        <v>650</v>
      </c>
      <c r="C4" s="0" t="s">
        <v>9</v>
      </c>
      <c r="D4" s="3" t="n">
        <f aca="false">(4+0.5)/2.46*B4/1000</f>
        <v>1.1890243902439</v>
      </c>
      <c r="E4" s="1" t="n">
        <v>6</v>
      </c>
      <c r="F4" s="3" t="n">
        <f aca="false">IF(D4&gt;0, E4/D4, 0)</f>
        <v>5.04615384615385</v>
      </c>
      <c r="G4" s="0" t="s">
        <v>14</v>
      </c>
    </row>
    <row r="5" customFormat="false" ht="16.9" hidden="false" customHeight="true" outlineLevel="0" collapsed="false">
      <c r="A5" s="0" t="s">
        <v>15</v>
      </c>
      <c r="B5" s="0" t="n">
        <v>250</v>
      </c>
      <c r="C5" s="0" t="s">
        <v>9</v>
      </c>
      <c r="D5" s="3" t="n">
        <f aca="false">1.89*B5/1000</f>
        <v>0.4725</v>
      </c>
      <c r="E5" s="1" t="n">
        <v>2</v>
      </c>
      <c r="F5" s="3" t="n">
        <f aca="false">IF(D5&gt;0, E5/D5, 0)</f>
        <v>4.23280423280423</v>
      </c>
      <c r="G5" s="0" t="s">
        <v>10</v>
      </c>
      <c r="H5" s="0" t="s">
        <v>16</v>
      </c>
    </row>
    <row r="6" customFormat="false" ht="16.9" hidden="false" customHeight="true" outlineLevel="0" collapsed="false">
      <c r="A6" s="0" t="s">
        <v>17</v>
      </c>
      <c r="B6" s="0" t="n">
        <v>500</v>
      </c>
      <c r="C6" s="0" t="s">
        <v>9</v>
      </c>
      <c r="D6" s="3" t="n">
        <f aca="false">1.29/0.7*B6/1000</f>
        <v>0.921428571428572</v>
      </c>
      <c r="E6" s="1" t="n">
        <v>3</v>
      </c>
      <c r="F6" s="3" t="n">
        <f aca="false">IF(D6&gt;0, E6/D6, 0)</f>
        <v>3.25581395348837</v>
      </c>
      <c r="G6" s="0" t="s">
        <v>14</v>
      </c>
    </row>
    <row r="7" customFormat="false" ht="16.9" hidden="false" customHeight="true" outlineLevel="0" collapsed="false">
      <c r="A7" s="0" t="s">
        <v>18</v>
      </c>
      <c r="B7" s="0" t="n">
        <v>500</v>
      </c>
      <c r="C7" s="0" t="s">
        <v>9</v>
      </c>
      <c r="D7" s="3" t="n">
        <f aca="false">2.19/0.5*B7/1000</f>
        <v>2.19</v>
      </c>
      <c r="E7" s="1" t="n">
        <v>6</v>
      </c>
      <c r="F7" s="3" t="n">
        <f aca="false">IF(D7&gt;0, E7/D7, 0)</f>
        <v>2.73972602739726</v>
      </c>
      <c r="G7" s="0" t="s">
        <v>14</v>
      </c>
    </row>
    <row r="8" customFormat="false" ht="16.9" hidden="false" customHeight="true" outlineLevel="0" collapsed="false">
      <c r="A8" s="0" t="s">
        <v>19</v>
      </c>
      <c r="B8" s="4" t="n">
        <f aca="false">(5*2+2)/7</f>
        <v>1.71428571428571</v>
      </c>
      <c r="C8" s="0" t="s">
        <v>20</v>
      </c>
      <c r="D8" s="3" t="n">
        <f aca="false">0.99*B8</f>
        <v>1.69714285714286</v>
      </c>
      <c r="E8" s="1" t="n">
        <v>2</v>
      </c>
      <c r="F8" s="3" t="n">
        <f aca="false">IF(D8&gt;0, E8/D8, 0)</f>
        <v>1.17845117845118</v>
      </c>
      <c r="G8" s="0" t="s">
        <v>14</v>
      </c>
      <c r="H8" s="0" t="s">
        <v>21</v>
      </c>
    </row>
    <row r="9" customFormat="false" ht="16.9" hidden="false" customHeight="true" outlineLevel="0" collapsed="false">
      <c r="A9" s="0" t="s">
        <v>22</v>
      </c>
      <c r="B9" s="0" t="n">
        <v>0</v>
      </c>
      <c r="C9" s="0" t="s">
        <v>9</v>
      </c>
      <c r="D9" s="3" t="n">
        <f aca="false">17.9*B9/1000</f>
        <v>0</v>
      </c>
      <c r="E9" s="1" t="n">
        <v>1</v>
      </c>
      <c r="F9" s="3" t="n">
        <f aca="false">IF(D9&gt;0, E9/D9, 0)</f>
        <v>0</v>
      </c>
      <c r="G9" s="0" t="s">
        <v>10</v>
      </c>
    </row>
    <row r="10" customFormat="false" ht="16.9" hidden="false" customHeight="true" outlineLevel="0" collapsed="false">
      <c r="A10" s="0" t="s">
        <v>23</v>
      </c>
      <c r="B10" s="0" t="n">
        <v>1</v>
      </c>
      <c r="C10" s="0" t="s">
        <v>20</v>
      </c>
      <c r="D10" s="3" t="n">
        <f aca="false">2/20*B10</f>
        <v>0.1</v>
      </c>
      <c r="E10" s="1" t="n">
        <v>0</v>
      </c>
      <c r="F10" s="3" t="n">
        <f aca="false">IF(D10&gt;0, E10/D10, 0)</f>
        <v>0</v>
      </c>
      <c r="G10" s="0" t="s">
        <v>24</v>
      </c>
    </row>
    <row r="11" customFormat="false" ht="16.9" hidden="false" customHeight="true" outlineLevel="0" collapsed="false">
      <c r="A11" s="0" t="s">
        <v>25</v>
      </c>
      <c r="B11" s="0" t="n">
        <v>4</v>
      </c>
      <c r="C11" s="0" t="s">
        <v>9</v>
      </c>
      <c r="D11" s="3" t="n">
        <f aca="false">20.99*B11/1000</f>
        <v>0.08396</v>
      </c>
      <c r="E11" s="1" t="n">
        <v>0</v>
      </c>
      <c r="F11" s="3" t="n">
        <f aca="false">IF(D11&gt;0, E11/D11, 0)</f>
        <v>0</v>
      </c>
      <c r="G11" s="0" t="s">
        <v>10</v>
      </c>
      <c r="H11" s="0" t="s">
        <v>12</v>
      </c>
    </row>
    <row r="12" customFormat="false" ht="16.9" hidden="false" customHeight="true" outlineLevel="0" collapsed="false">
      <c r="A12" s="0" t="s">
        <v>26</v>
      </c>
      <c r="B12" s="0" t="n">
        <v>20</v>
      </c>
      <c r="C12" s="0" t="s">
        <v>9</v>
      </c>
      <c r="D12" s="3" t="n">
        <f aca="false">31.44*B12/1000</f>
        <v>0.6288</v>
      </c>
      <c r="E12" s="1" t="n">
        <v>0</v>
      </c>
      <c r="F12" s="3" t="n">
        <f aca="false">IF(D12&gt;0, E12/D12, 0)</f>
        <v>0</v>
      </c>
      <c r="G12" s="0" t="s">
        <v>10</v>
      </c>
      <c r="H12" s="0" t="s">
        <v>27</v>
      </c>
    </row>
    <row r="13" customFormat="false" ht="16.9" hidden="false" customHeight="true" outlineLevel="0" collapsed="false">
      <c r="A13" s="0" t="s">
        <v>28</v>
      </c>
      <c r="B13" s="0" t="n">
        <v>60</v>
      </c>
      <c r="C13" s="0" t="s">
        <v>9</v>
      </c>
      <c r="D13" s="3" t="n">
        <f aca="false">34.95/3*B13/1000</f>
        <v>0.699</v>
      </c>
      <c r="E13" s="1" t="n">
        <v>0</v>
      </c>
      <c r="F13" s="3" t="n">
        <f aca="false">IF(D13&gt;0, E13/D13, 0)</f>
        <v>0</v>
      </c>
      <c r="G13" s="0" t="s">
        <v>10</v>
      </c>
      <c r="H13" s="0" t="s">
        <v>29</v>
      </c>
    </row>
    <row r="14" customFormat="false" ht="16.9" hidden="false" customHeight="true" outlineLevel="0" collapsed="false">
      <c r="A14" s="0" t="s">
        <v>30</v>
      </c>
      <c r="B14" s="0" t="n">
        <v>0</v>
      </c>
      <c r="C14" s="0" t="s">
        <v>9</v>
      </c>
      <c r="D14" s="5" t="n">
        <f aca="false">11*B14/1000</f>
        <v>0</v>
      </c>
      <c r="E14" s="6" t="n">
        <v>0</v>
      </c>
      <c r="F14" s="5" t="n">
        <f aca="false">IF(D14&gt;0, E14/D14, 0)</f>
        <v>0</v>
      </c>
      <c r="G14" s="0" t="s">
        <v>10</v>
      </c>
      <c r="H14" s="0" t="s">
        <v>31</v>
      </c>
    </row>
    <row r="15" customFormat="false" ht="16.9" hidden="false" customHeight="true" outlineLevel="0" collapsed="false">
      <c r="B15" s="7"/>
      <c r="C15" s="7"/>
      <c r="D15" s="8" t="n">
        <f aca="false">SUM(D2:D14)</f>
        <v>8.65473581881533</v>
      </c>
      <c r="E15" s="9" t="n">
        <f aca="false">SUM(E2:E14)</f>
        <v>24</v>
      </c>
      <c r="F15" s="8" t="n">
        <f aca="false">IF(D15&gt;0, E15/D15, 0)</f>
        <v>2.7730482480845</v>
      </c>
    </row>
  </sheetData>
  <autoFilter ref="A1:H14">
    <sortState ref="A2:H14">
      <sortCondition ref="A2:A14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3" activeCellId="0" sqref="B13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65.17"/>
    <col collapsed="false" customWidth="true" hidden="false" outlineLevel="0" max="2" min="2" style="0" width="4.9"/>
    <col collapsed="false" customWidth="true" hidden="false" outlineLevel="0" max="3" min="3" style="0" width="5.33"/>
    <col collapsed="false" customWidth="true" hidden="false" outlineLevel="0" max="4" min="4" style="0" width="5.17"/>
    <col collapsed="false" customWidth="true" hidden="false" outlineLevel="0" max="5" min="5" style="1" width="5"/>
    <col collapsed="false" customWidth="true" hidden="false" outlineLevel="0" max="6" min="6" style="0" width="6.34"/>
    <col collapsed="false" customWidth="true" hidden="false" outlineLevel="0" max="7" min="7" style="0" width="12.67"/>
    <col collapsed="false" customWidth="true" hidden="false" outlineLevel="0" max="8" min="8" style="0" width="21.66"/>
  </cols>
  <sheetData>
    <row r="1" customFormat="false" ht="18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n">
        <v>140</v>
      </c>
      <c r="C2" s="0" t="s">
        <v>9</v>
      </c>
      <c r="D2" s="3" t="n">
        <f aca="false">1.99/0.5*B2/1000</f>
        <v>0.5572</v>
      </c>
      <c r="E2" s="1" t="n">
        <v>4</v>
      </c>
      <c r="F2" s="3" t="n">
        <f aca="false">IF(D2&gt;0, E2/D2, 0)</f>
        <v>7.17875089734386</v>
      </c>
      <c r="G2" s="0" t="s">
        <v>10</v>
      </c>
    </row>
    <row r="3" customFormat="false" ht="15" hidden="false" customHeight="false" outlineLevel="0" collapsed="false">
      <c r="A3" s="0" t="s">
        <v>11</v>
      </c>
      <c r="B3" s="0" t="n">
        <v>16</v>
      </c>
      <c r="C3" s="0" t="s">
        <v>9</v>
      </c>
      <c r="D3" s="3" t="n">
        <f aca="false">7.23*B3/1000</f>
        <v>0.11568</v>
      </c>
      <c r="E3" s="1" t="n">
        <v>1</v>
      </c>
      <c r="F3" s="3" t="n">
        <f aca="false">IF(D3&gt;0, E3/D3, 0)</f>
        <v>8.64453665283541</v>
      </c>
      <c r="G3" s="0" t="s">
        <v>10</v>
      </c>
      <c r="H3" s="0" t="s">
        <v>12</v>
      </c>
    </row>
    <row r="4" customFormat="false" ht="15" hidden="false" customHeight="false" outlineLevel="0" collapsed="false">
      <c r="A4" s="0" t="s">
        <v>13</v>
      </c>
      <c r="B4" s="0" t="n">
        <v>700</v>
      </c>
      <c r="C4" s="0" t="s">
        <v>9</v>
      </c>
      <c r="D4" s="3" t="n">
        <f aca="false">(4+0.5)/2.46*B4/1000</f>
        <v>1.28048780487805</v>
      </c>
      <c r="E4" s="1" t="n">
        <v>6</v>
      </c>
      <c r="F4" s="3" t="n">
        <f aca="false">IF(D4&gt;0, E4/D4, 0)</f>
        <v>4.68571428571429</v>
      </c>
      <c r="G4" s="0" t="s">
        <v>14</v>
      </c>
    </row>
    <row r="5" customFormat="false" ht="15" hidden="false" customHeight="false" outlineLevel="0" collapsed="false">
      <c r="A5" s="0" t="s">
        <v>15</v>
      </c>
      <c r="B5" s="0" t="n">
        <v>250</v>
      </c>
      <c r="C5" s="0" t="s">
        <v>9</v>
      </c>
      <c r="D5" s="3" t="n">
        <f aca="false">1.89*B5/1000</f>
        <v>0.4725</v>
      </c>
      <c r="E5" s="1" t="n">
        <v>2</v>
      </c>
      <c r="F5" s="3" t="n">
        <f aca="false">IF(D5&gt;0, E5/D5, 0)</f>
        <v>4.23280423280423</v>
      </c>
      <c r="G5" s="0" t="s">
        <v>10</v>
      </c>
      <c r="H5" s="0" t="s">
        <v>16</v>
      </c>
    </row>
    <row r="6" customFormat="false" ht="15" hidden="false" customHeight="false" outlineLevel="0" collapsed="false">
      <c r="A6" s="0" t="s">
        <v>18</v>
      </c>
      <c r="B6" s="0" t="n">
        <v>500</v>
      </c>
      <c r="C6" s="0" t="s">
        <v>9</v>
      </c>
      <c r="D6" s="3" t="n">
        <f aca="false">2.19/0.5*B6/1000</f>
        <v>2.19</v>
      </c>
      <c r="E6" s="1" t="n">
        <v>8</v>
      </c>
      <c r="F6" s="3" t="n">
        <f aca="false">IF(D6&gt;0, E6/D6, 0)</f>
        <v>3.65296803652968</v>
      </c>
      <c r="G6" s="0" t="s">
        <v>14</v>
      </c>
    </row>
    <row r="7" customFormat="false" ht="15" hidden="false" customHeight="false" outlineLevel="0" collapsed="false">
      <c r="A7" s="0" t="s">
        <v>17</v>
      </c>
      <c r="B7" s="0" t="n">
        <v>800</v>
      </c>
      <c r="C7" s="0" t="s">
        <v>9</v>
      </c>
      <c r="D7" s="3" t="n">
        <f aca="false">1.29/0.7*B7/1000</f>
        <v>1.47428571428571</v>
      </c>
      <c r="E7" s="1" t="n">
        <v>3</v>
      </c>
      <c r="F7" s="3" t="n">
        <f aca="false">IF(D7&gt;0, E7/D7, 0)</f>
        <v>2.03488372093023</v>
      </c>
      <c r="G7" s="0" t="s">
        <v>14</v>
      </c>
    </row>
    <row r="8" customFormat="false" ht="15" hidden="false" customHeight="false" outlineLevel="0" collapsed="false">
      <c r="A8" s="0" t="s">
        <v>22</v>
      </c>
      <c r="B8" s="0" t="n">
        <v>0</v>
      </c>
      <c r="C8" s="0" t="s">
        <v>9</v>
      </c>
      <c r="D8" s="3" t="n">
        <f aca="false">17.9*B8/1000</f>
        <v>0</v>
      </c>
      <c r="E8" s="1" t="n">
        <v>1</v>
      </c>
      <c r="F8" s="3" t="n">
        <f aca="false">IF(D8&gt;0, E8/D8, 0)</f>
        <v>0</v>
      </c>
      <c r="G8" s="0" t="s">
        <v>10</v>
      </c>
    </row>
    <row r="9" customFormat="false" ht="15" hidden="false" customHeight="false" outlineLevel="0" collapsed="false">
      <c r="A9" s="0" t="s">
        <v>23</v>
      </c>
      <c r="B9" s="0" t="n">
        <v>1</v>
      </c>
      <c r="C9" s="0" t="s">
        <v>20</v>
      </c>
      <c r="D9" s="3" t="n">
        <f aca="false">2/20*B9</f>
        <v>0.1</v>
      </c>
      <c r="E9" s="1" t="n">
        <v>0</v>
      </c>
      <c r="F9" s="3" t="n">
        <f aca="false">IF(D9&gt;0, E9/D9, 0)</f>
        <v>0</v>
      </c>
      <c r="G9" s="0" t="s">
        <v>24</v>
      </c>
    </row>
    <row r="10" customFormat="false" ht="15" hidden="false" customHeight="false" outlineLevel="0" collapsed="false">
      <c r="A10" s="0" t="s">
        <v>25</v>
      </c>
      <c r="B10" s="0" t="n">
        <v>4</v>
      </c>
      <c r="C10" s="0" t="s">
        <v>9</v>
      </c>
      <c r="D10" s="3" t="n">
        <f aca="false">20.99*B10/1000</f>
        <v>0.08396</v>
      </c>
      <c r="E10" s="1" t="n">
        <v>0</v>
      </c>
      <c r="F10" s="3" t="n">
        <f aca="false">IF(D10&gt;0, E10/D10, 0)</f>
        <v>0</v>
      </c>
      <c r="G10" s="0" t="s">
        <v>10</v>
      </c>
      <c r="H10" s="0" t="s">
        <v>12</v>
      </c>
    </row>
    <row r="11" customFormat="false" ht="15" hidden="false" customHeight="false" outlineLevel="0" collapsed="false">
      <c r="A11" s="0" t="s">
        <v>19</v>
      </c>
      <c r="B11" s="4" t="n">
        <f aca="false">(5*2+2)/7</f>
        <v>1.71428571428571</v>
      </c>
      <c r="C11" s="0" t="s">
        <v>20</v>
      </c>
      <c r="D11" s="3" t="n">
        <f aca="false">0.99*B11</f>
        <v>1.69714285714286</v>
      </c>
      <c r="E11" s="1" t="n">
        <v>2</v>
      </c>
      <c r="F11" s="3" t="n">
        <f aca="false">IF(D11&gt;0, E11/D11, 0)</f>
        <v>1.17845117845118</v>
      </c>
      <c r="G11" s="0" t="s">
        <v>14</v>
      </c>
      <c r="H11" s="0" t="s">
        <v>21</v>
      </c>
    </row>
    <row r="12" customFormat="false" ht="15" hidden="false" customHeight="false" outlineLevel="0" collapsed="false">
      <c r="A12" s="0" t="s">
        <v>30</v>
      </c>
      <c r="B12" s="0" t="n">
        <v>4</v>
      </c>
      <c r="C12" s="0" t="s">
        <v>9</v>
      </c>
      <c r="D12" s="3" t="n">
        <f aca="false">11*B12/1000</f>
        <v>0.044</v>
      </c>
      <c r="E12" s="1" t="n">
        <v>1</v>
      </c>
      <c r="F12" s="3" t="n">
        <f aca="false">IF(D12&gt;0, E12/D12, 0)</f>
        <v>22.7272727272727</v>
      </c>
      <c r="G12" s="0" t="s">
        <v>10</v>
      </c>
      <c r="H12" s="0" t="s">
        <v>31</v>
      </c>
    </row>
    <row r="13" customFormat="false" ht="15" hidden="false" customHeight="false" outlineLevel="0" collapsed="false">
      <c r="B13" s="7"/>
      <c r="C13" s="7"/>
      <c r="D13" s="10" t="n">
        <f aca="false">SUM(D2:D12)</f>
        <v>8.01525637630662</v>
      </c>
      <c r="E13" s="11" t="n">
        <f aca="false">SUM(E2:E12)</f>
        <v>28</v>
      </c>
      <c r="F13" s="10" t="n">
        <f aca="false">IF(D13&gt;0, E13/D13, 0)</f>
        <v>3.49333804003687</v>
      </c>
    </row>
    <row r="1048573" customFormat="false" ht="12.75" hidden="false" customHeight="true" outlineLevel="0" collapsed="false"/>
    <row r="1048574" customFormat="false" ht="12.75" hidden="false" customHeight="true" outlineLevel="0" collapsed="false"/>
  </sheetData>
  <autoFilter ref="A1:H12">
    <sortState ref="A2:H12">
      <sortCondition ref="A2:A12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9" activeCellId="0" sqref="A19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65.17"/>
    <col collapsed="false" customWidth="true" hidden="false" outlineLevel="0" max="2" min="2" style="0" width="4.67"/>
    <col collapsed="false" customWidth="true" hidden="false" outlineLevel="0" max="3" min="3" style="0" width="5.33"/>
    <col collapsed="false" customWidth="true" hidden="false" outlineLevel="0" max="4" min="4" style="0" width="5.17"/>
    <col collapsed="false" customWidth="true" hidden="false" outlineLevel="0" max="5" min="5" style="1" width="6.34"/>
    <col collapsed="false" customWidth="true" hidden="false" outlineLevel="0" max="6" min="6" style="0" width="6.34"/>
    <col collapsed="false" customWidth="true" hidden="false" outlineLevel="0" max="7" min="7" style="0" width="10.17"/>
    <col collapsed="false" customWidth="true" hidden="false" outlineLevel="0" max="8" min="8" style="0" width="21.66"/>
  </cols>
  <sheetData>
    <row r="1" customFormat="false" ht="16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n">
        <v>140</v>
      </c>
      <c r="C2" s="0" t="s">
        <v>9</v>
      </c>
      <c r="D2" s="3" t="n">
        <f aca="false">1.99/0.5*B2/1000</f>
        <v>0.5572</v>
      </c>
      <c r="E2" s="1" t="n">
        <v>4</v>
      </c>
      <c r="F2" s="3" t="n">
        <f aca="false">IF(D2&gt;0, E2/D2, 0)</f>
        <v>7.17875089734386</v>
      </c>
      <c r="G2" s="0" t="s">
        <v>10</v>
      </c>
    </row>
    <row r="3" customFormat="false" ht="15" hidden="false" customHeight="false" outlineLevel="0" collapsed="false">
      <c r="A3" s="0" t="s">
        <v>22</v>
      </c>
      <c r="B3" s="0" t="n">
        <v>4</v>
      </c>
      <c r="C3" s="0" t="s">
        <v>9</v>
      </c>
      <c r="D3" s="3" t="n">
        <f aca="false">17.9*B3/1000</f>
        <v>0.0716</v>
      </c>
      <c r="E3" s="1" t="n">
        <v>1</v>
      </c>
      <c r="F3" s="3" t="n">
        <f aca="false">IF(D3&gt;0, E3/D3, 0)</f>
        <v>13.9664804469274</v>
      </c>
      <c r="G3" s="0" t="s">
        <v>10</v>
      </c>
    </row>
    <row r="4" customFormat="false" ht="15" hidden="false" customHeight="false" outlineLevel="0" collapsed="false">
      <c r="A4" s="0" t="s">
        <v>25</v>
      </c>
      <c r="B4" s="0" t="n">
        <v>4</v>
      </c>
      <c r="C4" s="0" t="s">
        <v>9</v>
      </c>
      <c r="D4" s="3" t="n">
        <f aca="false">20.99*B4/1000</f>
        <v>0.08396</v>
      </c>
      <c r="E4" s="1" t="n">
        <v>1</v>
      </c>
      <c r="F4" s="3" t="n">
        <f aca="false">IF(D4&gt;0, E4/D4, 0)</f>
        <v>11.9104335397808</v>
      </c>
      <c r="G4" s="0" t="s">
        <v>10</v>
      </c>
      <c r="H4" s="0" t="s">
        <v>12</v>
      </c>
    </row>
    <row r="5" customFormat="false" ht="15" hidden="false" customHeight="false" outlineLevel="0" collapsed="false">
      <c r="A5" s="0" t="s">
        <v>13</v>
      </c>
      <c r="B5" s="0" t="n">
        <v>600</v>
      </c>
      <c r="C5" s="0" t="s">
        <v>9</v>
      </c>
      <c r="D5" s="3" t="n">
        <f aca="false">(4+0.5)/2.46*B5/1000</f>
        <v>1.09756097560976</v>
      </c>
      <c r="E5" s="1" t="n">
        <v>8</v>
      </c>
      <c r="F5" s="3" t="n">
        <f aca="false">IF(D5&gt;0, E5/D5, 0)</f>
        <v>7.28888888888889</v>
      </c>
      <c r="G5" s="0" t="s">
        <v>14</v>
      </c>
    </row>
    <row r="6" customFormat="false" ht="15" hidden="false" customHeight="false" outlineLevel="0" collapsed="false">
      <c r="A6" s="0" t="s">
        <v>15</v>
      </c>
      <c r="B6" s="0" t="n">
        <v>250</v>
      </c>
      <c r="C6" s="0" t="s">
        <v>9</v>
      </c>
      <c r="D6" s="3" t="n">
        <f aca="false">1.89*B6/1000</f>
        <v>0.4725</v>
      </c>
      <c r="E6" s="1" t="n">
        <v>2</v>
      </c>
      <c r="F6" s="3" t="n">
        <f aca="false">IF(D6&gt;0, E6/D6, 0)</f>
        <v>4.23280423280423</v>
      </c>
      <c r="G6" s="0" t="s">
        <v>10</v>
      </c>
      <c r="H6" s="0" t="s">
        <v>16</v>
      </c>
    </row>
    <row r="7" customFormat="false" ht="15" hidden="false" customHeight="false" outlineLevel="0" collapsed="false">
      <c r="A7" s="0" t="s">
        <v>18</v>
      </c>
      <c r="B7" s="0" t="n">
        <v>500</v>
      </c>
      <c r="C7" s="0" t="s">
        <v>9</v>
      </c>
      <c r="D7" s="3" t="n">
        <f aca="false">2.19/0.5*B7/1000</f>
        <v>2.19</v>
      </c>
      <c r="E7" s="1" t="n">
        <v>8</v>
      </c>
      <c r="F7" s="3" t="n">
        <f aca="false">IF(D7&gt;0, E7/D7, 0)</f>
        <v>3.65296803652968</v>
      </c>
      <c r="G7" s="0" t="s">
        <v>14</v>
      </c>
    </row>
    <row r="8" customFormat="false" ht="15" hidden="false" customHeight="false" outlineLevel="0" collapsed="false">
      <c r="A8" s="0" t="s">
        <v>17</v>
      </c>
      <c r="B8" s="0" t="n">
        <v>1000</v>
      </c>
      <c r="C8" s="0" t="s">
        <v>9</v>
      </c>
      <c r="D8" s="3" t="n">
        <f aca="false">1.29/0.7*B8/1000</f>
        <v>1.84285714285714</v>
      </c>
      <c r="E8" s="1" t="n">
        <v>3</v>
      </c>
      <c r="F8" s="3" t="n">
        <f aca="false">IF(D8&gt;0, E8/D8, 0)</f>
        <v>1.62790697674419</v>
      </c>
      <c r="G8" s="0" t="s">
        <v>14</v>
      </c>
    </row>
    <row r="9" customFormat="false" ht="15" hidden="false" customHeight="false" outlineLevel="0" collapsed="false">
      <c r="A9" s="0" t="s">
        <v>23</v>
      </c>
      <c r="B9" s="0" t="n">
        <v>1</v>
      </c>
      <c r="C9" s="0" t="s">
        <v>20</v>
      </c>
      <c r="D9" s="3" t="n">
        <f aca="false">2/20*B9</f>
        <v>0.1</v>
      </c>
      <c r="E9" s="1" t="n">
        <v>0</v>
      </c>
      <c r="F9" s="3" t="n">
        <f aca="false">IF(D9&gt;0, E9/D9, 0)</f>
        <v>0</v>
      </c>
      <c r="G9" s="0" t="s">
        <v>24</v>
      </c>
    </row>
    <row r="10" customFormat="false" ht="15" hidden="false" customHeight="false" outlineLevel="0" collapsed="false">
      <c r="A10" s="0" t="s">
        <v>11</v>
      </c>
      <c r="B10" s="0" t="n">
        <v>16</v>
      </c>
      <c r="C10" s="0" t="s">
        <v>9</v>
      </c>
      <c r="D10" s="3" t="n">
        <f aca="false">7.23*B10/1000</f>
        <v>0.11568</v>
      </c>
      <c r="E10" s="1" t="n">
        <v>0</v>
      </c>
      <c r="F10" s="3" t="n">
        <f aca="false">IF(D10&gt;0, E10/D10, 0)</f>
        <v>0</v>
      </c>
      <c r="G10" s="0" t="s">
        <v>10</v>
      </c>
      <c r="H10" s="0" t="s">
        <v>12</v>
      </c>
    </row>
    <row r="11" customFormat="false" ht="15" hidden="false" customHeight="false" outlineLevel="0" collapsed="false">
      <c r="A11" s="0" t="s">
        <v>30</v>
      </c>
      <c r="B11" s="0" t="n">
        <v>4</v>
      </c>
      <c r="C11" s="0" t="s">
        <v>9</v>
      </c>
      <c r="D11" s="3" t="n">
        <f aca="false">11*B11/1000</f>
        <v>0.044</v>
      </c>
      <c r="E11" s="1" t="n">
        <v>0</v>
      </c>
      <c r="F11" s="3" t="n">
        <f aca="false">IF(D11&gt;0, E11/D11, 0)</f>
        <v>0</v>
      </c>
      <c r="G11" s="0" t="s">
        <v>10</v>
      </c>
      <c r="H11" s="0" t="s">
        <v>31</v>
      </c>
    </row>
    <row r="12" customFormat="false" ht="15" hidden="false" customHeight="true" outlineLevel="0" collapsed="false">
      <c r="D12" s="10" t="n">
        <f aca="false">SUM(D2:D11)</f>
        <v>6.5753581184669</v>
      </c>
      <c r="E12" s="11" t="n">
        <f aca="false">SUM(E2:E11)</f>
        <v>27</v>
      </c>
      <c r="F12" s="10" t="n">
        <f aca="false">IF(D12&gt;0, E12/D12, 0)</f>
        <v>4.10624022502599</v>
      </c>
    </row>
    <row r="15" customFormat="false" ht="15" hidden="false" customHeight="false" outlineLevel="0" collapsed="false">
      <c r="B15" s="7"/>
      <c r="C15" s="7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1" activeCellId="0" sqref="C11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55.55"/>
    <col collapsed="false" customWidth="true" hidden="false" outlineLevel="0" max="2" min="2" style="0" width="5.47"/>
    <col collapsed="false" customWidth="true" hidden="false" outlineLevel="0" max="3" min="3" style="0" width="5.22"/>
    <col collapsed="false" customWidth="true" hidden="false" outlineLevel="0" max="4" min="4" style="0" width="4.9"/>
    <col collapsed="false" customWidth="true" hidden="false" outlineLevel="0" max="5" min="5" style="1" width="5.96"/>
    <col collapsed="false" customWidth="true" hidden="false" outlineLevel="0" max="6" min="6" style="0" width="5.96"/>
    <col collapsed="false" customWidth="true" hidden="false" outlineLevel="0" max="7" min="7" style="0" width="9.39"/>
    <col collapsed="false" customWidth="true" hidden="false" outlineLevel="0" max="8" min="8" style="0" width="21.81"/>
  </cols>
  <sheetData>
    <row r="1" customFormat="false" ht="16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n">
        <v>140</v>
      </c>
      <c r="C2" s="0" t="s">
        <v>9</v>
      </c>
      <c r="D2" s="3" t="n">
        <f aca="false">1.99/0.5*B2/1000</f>
        <v>0.5572</v>
      </c>
      <c r="E2" s="1" t="n">
        <v>4</v>
      </c>
      <c r="F2" s="3" t="n">
        <f aca="false">IF(D2&gt;0, E2/D2, 0)</f>
        <v>7.17875089734386</v>
      </c>
      <c r="G2" s="0" t="s">
        <v>10</v>
      </c>
    </row>
    <row r="3" customFormat="false" ht="15" hidden="false" customHeight="false" outlineLevel="0" collapsed="false">
      <c r="A3" s="0" t="s">
        <v>22</v>
      </c>
      <c r="B3" s="0" t="n">
        <v>4</v>
      </c>
      <c r="C3" s="0" t="s">
        <v>9</v>
      </c>
      <c r="D3" s="3" t="n">
        <f aca="false">17.9*B3/1000</f>
        <v>0.0716</v>
      </c>
      <c r="E3" s="1" t="n">
        <v>1</v>
      </c>
      <c r="F3" s="3" t="n">
        <f aca="false">IF(D3&gt;0, E3/D3, 0)</f>
        <v>13.9664804469274</v>
      </c>
      <c r="G3" s="0" t="s">
        <v>10</v>
      </c>
    </row>
    <row r="4" customFormat="false" ht="15" hidden="false" customHeight="false" outlineLevel="0" collapsed="false">
      <c r="A4" s="0" t="s">
        <v>11</v>
      </c>
      <c r="B4" s="0" t="n">
        <v>16</v>
      </c>
      <c r="C4" s="0" t="s">
        <v>9</v>
      </c>
      <c r="D4" s="3" t="n">
        <f aca="false">7.23*B4/1000</f>
        <v>0.11568</v>
      </c>
      <c r="E4" s="1" t="n">
        <v>1</v>
      </c>
      <c r="F4" s="3" t="n">
        <f aca="false">IF(D4&gt;0, E4/D4, 0)</f>
        <v>8.64453665283541</v>
      </c>
      <c r="G4" s="0" t="s">
        <v>10</v>
      </c>
      <c r="H4" s="0" t="s">
        <v>12</v>
      </c>
    </row>
    <row r="5" customFormat="false" ht="15" hidden="false" customHeight="false" outlineLevel="0" collapsed="false">
      <c r="A5" s="0" t="s">
        <v>13</v>
      </c>
      <c r="B5" s="0" t="n">
        <v>800</v>
      </c>
      <c r="C5" s="0" t="s">
        <v>9</v>
      </c>
      <c r="D5" s="3" t="n">
        <f aca="false">(4+0.5)/2.46*B5/1000</f>
        <v>1.46341463414634</v>
      </c>
      <c r="E5" s="1" t="n">
        <v>9</v>
      </c>
      <c r="F5" s="3" t="n">
        <f aca="false">IF(D5&gt;0, E5/D5, 0)</f>
        <v>6.15</v>
      </c>
      <c r="G5" s="0" t="s">
        <v>14</v>
      </c>
    </row>
    <row r="6" customFormat="false" ht="15" hidden="false" customHeight="false" outlineLevel="0" collapsed="false">
      <c r="A6" s="0" t="s">
        <v>18</v>
      </c>
      <c r="B6" s="0" t="n">
        <v>500</v>
      </c>
      <c r="C6" s="0" t="s">
        <v>9</v>
      </c>
      <c r="D6" s="3" t="n">
        <f aca="false">2.19/0.5*B6/1000</f>
        <v>2.19</v>
      </c>
      <c r="E6" s="1" t="n">
        <v>10</v>
      </c>
      <c r="F6" s="3" t="n">
        <f aca="false">IF(D6&gt;0, E6/D6, 0)</f>
        <v>4.5662100456621</v>
      </c>
      <c r="G6" s="0" t="s">
        <v>14</v>
      </c>
    </row>
    <row r="7" customFormat="false" ht="15" hidden="false" customHeight="false" outlineLevel="0" collapsed="false">
      <c r="A7" s="0" t="s">
        <v>17</v>
      </c>
      <c r="B7" s="0" t="n">
        <v>1000</v>
      </c>
      <c r="C7" s="0" t="s">
        <v>9</v>
      </c>
      <c r="D7" s="3" t="n">
        <f aca="false">1.29/0.7*B7/1000</f>
        <v>1.84285714285714</v>
      </c>
      <c r="E7" s="1" t="n">
        <v>4</v>
      </c>
      <c r="F7" s="3" t="n">
        <f aca="false">IF(D7&gt;0, E7/D7, 0)</f>
        <v>2.17054263565891</v>
      </c>
      <c r="G7" s="0" t="s">
        <v>14</v>
      </c>
    </row>
    <row r="8" customFormat="false" ht="15" hidden="false" customHeight="false" outlineLevel="0" collapsed="false">
      <c r="A8" s="0" t="s">
        <v>23</v>
      </c>
      <c r="B8" s="0" t="n">
        <v>1</v>
      </c>
      <c r="C8" s="0" t="s">
        <v>20</v>
      </c>
      <c r="D8" s="3" t="n">
        <f aca="false">2/20*B8</f>
        <v>0.1</v>
      </c>
      <c r="E8" s="1" t="n">
        <v>0</v>
      </c>
      <c r="F8" s="3" t="n">
        <f aca="false">IF(D8&gt;0, E8/D8, 0)</f>
        <v>0</v>
      </c>
      <c r="G8" s="0" t="s">
        <v>24</v>
      </c>
    </row>
    <row r="9" customFormat="false" ht="15" hidden="false" customHeight="false" outlineLevel="0" collapsed="false">
      <c r="A9" s="0" t="s">
        <v>25</v>
      </c>
      <c r="B9" s="0" t="n">
        <v>4</v>
      </c>
      <c r="C9" s="0" t="s">
        <v>9</v>
      </c>
      <c r="D9" s="3" t="n">
        <f aca="false">20.99*B9/1000</f>
        <v>0.08396</v>
      </c>
      <c r="E9" s="1" t="n">
        <v>0</v>
      </c>
      <c r="F9" s="3" t="n">
        <f aca="false">IF(D9&gt;0, E9/D9, 0)</f>
        <v>0</v>
      </c>
      <c r="G9" s="0" t="s">
        <v>10</v>
      </c>
      <c r="H9" s="0" t="s">
        <v>12</v>
      </c>
    </row>
    <row r="10" customFormat="false" ht="15" hidden="false" customHeight="false" outlineLevel="0" collapsed="false">
      <c r="A10" s="0" t="s">
        <v>30</v>
      </c>
      <c r="B10" s="0" t="n">
        <v>4</v>
      </c>
      <c r="C10" s="0" t="s">
        <v>9</v>
      </c>
      <c r="D10" s="3" t="n">
        <f aca="false">11*B10/1000</f>
        <v>0.044</v>
      </c>
      <c r="E10" s="1" t="n">
        <v>0</v>
      </c>
      <c r="F10" s="3" t="n">
        <f aca="false">IF(D10&gt;0, E10/D10, 0)</f>
        <v>0</v>
      </c>
      <c r="G10" s="0" t="s">
        <v>10</v>
      </c>
      <c r="H10" s="0" t="s">
        <v>31</v>
      </c>
    </row>
    <row r="11" customFormat="false" ht="15" hidden="false" customHeight="false" outlineLevel="0" collapsed="false">
      <c r="B11" s="7"/>
      <c r="C11" s="7"/>
      <c r="D11" s="10" t="n">
        <f aca="false">SUM(D2:D10)</f>
        <v>6.46871177700348</v>
      </c>
      <c r="E11" s="11" t="n">
        <f aca="false">SUM(E2:E10)</f>
        <v>29</v>
      </c>
      <c r="F11" s="10" t="n">
        <f aca="false">IF(D11&gt;0, E11/D11, 0)</f>
        <v>4.48311827759835</v>
      </c>
    </row>
    <row r="12" customFormat="false" ht="15" hidden="false" customHeight="true" outlineLevel="0" collapsed="false">
      <c r="F12" s="12"/>
    </row>
    <row r="1048572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H11">
    <sortState ref="A2:H11">
      <sortCondition ref="A2:A11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2" activeCellId="0" sqref="A12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48.69"/>
    <col collapsed="false" customWidth="true" hidden="false" outlineLevel="0" max="2" min="2" style="0" width="5.47"/>
    <col collapsed="false" customWidth="true" hidden="false" outlineLevel="0" max="3" min="3" style="0" width="5.22"/>
    <col collapsed="false" customWidth="true" hidden="false" outlineLevel="0" max="4" min="4" style="0" width="4.9"/>
    <col collapsed="false" customWidth="true" hidden="false" outlineLevel="0" max="5" min="5" style="1" width="5.96"/>
    <col collapsed="false" customWidth="true" hidden="false" outlineLevel="0" max="6" min="6" style="0" width="4.9"/>
    <col collapsed="false" customWidth="true" hidden="false" outlineLevel="0" max="7" min="7" style="0" width="9.39"/>
  </cols>
  <sheetData>
    <row r="1" customFormat="false" ht="16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n">
        <v>140</v>
      </c>
      <c r="C2" s="0" t="s">
        <v>9</v>
      </c>
      <c r="D2" s="3" t="n">
        <f aca="false">1.99/0.5*B2/1000</f>
        <v>0.5572</v>
      </c>
      <c r="E2" s="1" t="n">
        <v>5</v>
      </c>
      <c r="F2" s="3" t="n">
        <f aca="false">IF(D2&gt;0, E2/D2, 0)</f>
        <v>8.97343862167983</v>
      </c>
      <c r="G2" s="0" t="s">
        <v>10</v>
      </c>
    </row>
    <row r="3" customFormat="false" ht="15" hidden="false" customHeight="false" outlineLevel="0" collapsed="false">
      <c r="A3" s="0" t="s">
        <v>22</v>
      </c>
      <c r="B3" s="0" t="n">
        <v>16</v>
      </c>
      <c r="C3" s="0" t="s">
        <v>9</v>
      </c>
      <c r="D3" s="3" t="n">
        <f aca="false">17.9*B3/1000</f>
        <v>0.2864</v>
      </c>
      <c r="E3" s="1" t="n">
        <v>2</v>
      </c>
      <c r="F3" s="3" t="n">
        <f aca="false">IF(D3&gt;0, E3/D3, 0)</f>
        <v>6.98324022346369</v>
      </c>
      <c r="G3" s="0" t="s">
        <v>10</v>
      </c>
    </row>
    <row r="4" customFormat="false" ht="15" hidden="false" customHeight="false" outlineLevel="0" collapsed="false">
      <c r="A4" s="0" t="s">
        <v>13</v>
      </c>
      <c r="B4" s="0" t="n">
        <v>800</v>
      </c>
      <c r="C4" s="0" t="s">
        <v>9</v>
      </c>
      <c r="D4" s="3" t="n">
        <f aca="false">(4+0.5)/2.46*B4/1000</f>
        <v>1.46341463414634</v>
      </c>
      <c r="E4" s="1" t="n">
        <v>10</v>
      </c>
      <c r="F4" s="3" t="n">
        <f aca="false">IF(D4&gt;0, E4/D4, 0)</f>
        <v>6.83333333333333</v>
      </c>
      <c r="G4" s="0" t="s">
        <v>14</v>
      </c>
    </row>
    <row r="5" customFormat="false" ht="15" hidden="false" customHeight="false" outlineLevel="0" collapsed="false">
      <c r="A5" s="0" t="s">
        <v>18</v>
      </c>
      <c r="B5" s="0" t="n">
        <v>500</v>
      </c>
      <c r="C5" s="0" t="s">
        <v>9</v>
      </c>
      <c r="D5" s="3" t="n">
        <f aca="false">2.19/0.5*B5/1000</f>
        <v>2.19</v>
      </c>
      <c r="E5" s="1" t="n">
        <v>9</v>
      </c>
      <c r="F5" s="3" t="n">
        <f aca="false">IF(D5&gt;0, E5/D5, 0)</f>
        <v>4.10958904109589</v>
      </c>
      <c r="G5" s="0" t="s">
        <v>14</v>
      </c>
    </row>
    <row r="6" customFormat="false" ht="15" hidden="false" customHeight="false" outlineLevel="0" collapsed="false">
      <c r="A6" s="0" t="s">
        <v>17</v>
      </c>
      <c r="B6" s="0" t="n">
        <v>1000</v>
      </c>
      <c r="C6" s="0" t="s">
        <v>9</v>
      </c>
      <c r="D6" s="3" t="n">
        <f aca="false">1.29/0.7*B6/1000</f>
        <v>1.84285714285714</v>
      </c>
      <c r="E6" s="1" t="n">
        <v>5</v>
      </c>
      <c r="F6" s="3" t="n">
        <f aca="false">IF(D6&gt;0, E6/D6, 0)</f>
        <v>2.71317829457364</v>
      </c>
      <c r="G6" s="0" t="s">
        <v>14</v>
      </c>
    </row>
    <row r="7" customFormat="false" ht="15" hidden="false" customHeight="false" outlineLevel="0" collapsed="false">
      <c r="A7" s="0" t="s">
        <v>23</v>
      </c>
      <c r="B7" s="0" t="n">
        <v>1</v>
      </c>
      <c r="C7" s="0" t="s">
        <v>20</v>
      </c>
      <c r="D7" s="3" t="n">
        <f aca="false">2/20*B7</f>
        <v>0.1</v>
      </c>
      <c r="E7" s="1" t="n">
        <v>0</v>
      </c>
      <c r="F7" s="3" t="n">
        <f aca="false">IF(D7&gt;0, E7/D7, 0)</f>
        <v>0</v>
      </c>
      <c r="G7" s="0" t="s">
        <v>24</v>
      </c>
    </row>
    <row r="8" customFormat="false" ht="15" hidden="false" customHeight="false" outlineLevel="0" collapsed="false">
      <c r="B8" s="7"/>
      <c r="C8" s="7"/>
      <c r="D8" s="10" t="n">
        <f aca="false">SUM(D2:D7)</f>
        <v>6.43987177700348</v>
      </c>
      <c r="E8" s="11" t="n">
        <f aca="false">SUM(E2:E7)</f>
        <v>31</v>
      </c>
      <c r="F8" s="10" t="n">
        <f aca="false">IF(D8&gt;0, E8/D8, 0)</f>
        <v>4.8137604401845</v>
      </c>
    </row>
    <row r="9" customFormat="false" ht="15" hidden="false" customHeight="true" outlineLevel="0" collapsed="false">
      <c r="F9" s="12"/>
    </row>
    <row r="10" customFormat="false" ht="15" hidden="false" customHeight="true" outlineLevel="0" collapsed="false">
      <c r="F10" s="12"/>
    </row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6" customFormat="false" ht="12.75" hidden="false" customHeight="true" outlineLevel="0" collapsed="false"/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F3" activeCellId="0" sqref="F3"/>
    </sheetView>
  </sheetViews>
  <sheetFormatPr defaultColWidth="10.16796875" defaultRowHeight="12.7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.67"/>
    <col collapsed="false" customWidth="true" hidden="false" outlineLevel="0" max="4" min="4" style="0" width="4.83"/>
    <col collapsed="false" customWidth="true" hidden="false" outlineLevel="0" max="5" min="5" style="0" width="5.5"/>
    <col collapsed="false" customWidth="true" hidden="false" outlineLevel="0" max="6" min="6" style="13" width="11"/>
    <col collapsed="false" customWidth="true" hidden="false" outlineLevel="0" max="7" min="7" style="14" width="6.5"/>
  </cols>
  <sheetData>
    <row r="1" s="16" customFormat="true" ht="13.8" hidden="false" customHeight="false" outlineLevel="0" collapsed="false">
      <c r="A1" s="15" t="s">
        <v>32</v>
      </c>
      <c r="B1" s="15" t="s">
        <v>33</v>
      </c>
      <c r="C1" s="15" t="s">
        <v>34</v>
      </c>
      <c r="D1" s="15" t="s">
        <v>1</v>
      </c>
      <c r="E1" s="15" t="s">
        <v>2</v>
      </c>
      <c r="F1" s="15" t="s">
        <v>35</v>
      </c>
      <c r="G1" s="15" t="s">
        <v>36</v>
      </c>
    </row>
    <row r="2" customFormat="false" ht="13.8" hidden="false" customHeight="false" outlineLevel="0" collapsed="false">
      <c r="A2" s="0" t="s">
        <v>37</v>
      </c>
      <c r="B2" s="13" t="n">
        <v>45989</v>
      </c>
      <c r="C2" s="0" t="s">
        <v>38</v>
      </c>
      <c r="D2" s="0" t="n">
        <f aca="false">1.15+0.05</f>
        <v>1.2</v>
      </c>
      <c r="E2" s="0" t="s">
        <v>39</v>
      </c>
      <c r="F2" s="13" t="n">
        <v>46012</v>
      </c>
      <c r="G2" s="14" t="n">
        <f aca="false">Fase1!D$15</f>
        <v>8.65473581881533</v>
      </c>
    </row>
    <row r="3" customFormat="false" ht="13.8" hidden="false" customHeight="false" outlineLevel="0" collapsed="false">
      <c r="A3" s="0" t="s">
        <v>40</v>
      </c>
      <c r="B3" s="13" t="n">
        <f aca="false">F2+1</f>
        <v>46013</v>
      </c>
      <c r="C3" s="0" t="s">
        <v>41</v>
      </c>
      <c r="D3" s="0" t="n">
        <f aca="false">29+11</f>
        <v>40</v>
      </c>
      <c r="E3" s="0" t="s">
        <v>20</v>
      </c>
      <c r="F3" s="13" t="n">
        <f aca="false">"3/12/2025"+D3/(12/7)</f>
        <v>46017.3333333333</v>
      </c>
      <c r="G3" s="14" t="n">
        <f aca="false">Fase2!D$13</f>
        <v>8.01525637630662</v>
      </c>
    </row>
    <row r="4" customFormat="false" ht="13.8" hidden="false" customHeight="false" outlineLevel="0" collapsed="false">
      <c r="A4" s="0" t="s">
        <v>42</v>
      </c>
      <c r="B4" s="13" t="n">
        <f aca="false">F3+1</f>
        <v>46018.3333333333</v>
      </c>
      <c r="C4" s="0" t="s">
        <v>43</v>
      </c>
      <c r="D4" s="0" t="n">
        <v>6</v>
      </c>
      <c r="E4" s="0" t="s">
        <v>44</v>
      </c>
      <c r="F4" s="13" t="n">
        <f aca="false">"4/12/2025"+D4/0.25</f>
        <v>46019</v>
      </c>
      <c r="G4" s="14" t="n">
        <f aca="false">Fase3!D12</f>
        <v>6.5753581184669</v>
      </c>
    </row>
    <row r="5" customFormat="false" ht="13.8" hidden="false" customHeight="false" outlineLevel="0" collapsed="false">
      <c r="A5" s="0" t="s">
        <v>45</v>
      </c>
      <c r="B5" s="13" t="n">
        <f aca="false">F4+1</f>
        <v>46020</v>
      </c>
      <c r="C5" s="0" t="s">
        <v>46</v>
      </c>
      <c r="D5" s="0" t="n">
        <v>0.6</v>
      </c>
      <c r="E5" s="0" t="s">
        <v>39</v>
      </c>
      <c r="F5" s="13" t="n">
        <f aca="false">"4/12/2025"+D5/0.02</f>
        <v>46025</v>
      </c>
      <c r="G5" s="14" t="n">
        <f aca="false">Fase4!D11</f>
        <v>6.46871177700348</v>
      </c>
    </row>
    <row r="6" customFormat="false" ht="13.8" hidden="false" customHeight="false" outlineLevel="0" collapsed="false">
      <c r="A6" s="0" t="s">
        <v>47</v>
      </c>
      <c r="B6" s="13" t="n">
        <f aca="false">F5+1</f>
        <v>46026</v>
      </c>
      <c r="C6" s="0" t="s">
        <v>48</v>
      </c>
      <c r="F6" s="13" t="n">
        <v>47483</v>
      </c>
      <c r="G6" s="14" t="n">
        <f aca="false">Fase5!D8</f>
        <v>6.43987177700348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2025-11-20T10:33:39Z</dcterms:created>
  <dc:creator>openpyxl</dc:creator>
  <dc:description/>
  <dc:language>it-IT</dc:language>
  <cp:lastModifiedBy/>
  <dcterms:modified xsi:type="dcterms:W3CDTF">2025-12-21T09:12:33Z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
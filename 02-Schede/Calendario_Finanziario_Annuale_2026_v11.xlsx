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9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mmario" sheetId="1" state="visible" r:id="rId3"/>
    <sheet name="Legenda" sheetId="2" state="visible" r:id="rId4"/>
    <sheet name="README" sheetId="3" state="visible" r:id="rId5"/>
    <sheet name="01-Jan" sheetId="4" state="visible" r:id="rId6"/>
    <sheet name="02-Feb" sheetId="5" state="visible" r:id="rId7"/>
    <sheet name="03-Mar" sheetId="6" state="visible" r:id="rId8"/>
    <sheet name="04-Apr" sheetId="7" state="visible" r:id="rId9"/>
    <sheet name="05-May" sheetId="8" state="visible" r:id="rId10"/>
    <sheet name="06-Jun" sheetId="9" state="visible" r:id="rId11"/>
    <sheet name="07-Jul" sheetId="10" state="visible" r:id="rId12"/>
    <sheet name="08-Aug" sheetId="11" state="visible" r:id="rId13"/>
    <sheet name="09-Sep" sheetId="12" state="visible" r:id="rId14"/>
    <sheet name="10-Oct" sheetId="13" state="visible" r:id="rId15"/>
    <sheet name="11-Nov" sheetId="14" state="visible" r:id="rId16"/>
    <sheet name="12-Dec" sheetId="15" state="visible" r:id="rId17"/>
  </sheets>
  <definedNames>
    <definedName function="false" hidden="true" localSheetId="3" name="_xlnm._FilterDatabase" vbProcedure="false">'01-Jan'!$A$3:$H$164</definedName>
    <definedName function="false" hidden="true" localSheetId="4" name="_xlnm._FilterDatabase" vbProcedure="false">'02-Feb'!$A$3:$H$164</definedName>
    <definedName function="false" hidden="true" localSheetId="5" name="_xlnm._FilterDatabase" vbProcedure="false">'03-Mar'!$A$3:$H$164</definedName>
    <definedName function="false" hidden="true" localSheetId="6" name="_xlnm._FilterDatabase" vbProcedure="false">'04-Apr'!$A$3:$H$164</definedName>
    <definedName function="false" hidden="true" localSheetId="7" name="_xlnm._FilterDatabase" vbProcedure="false">'05-May'!$A$3:$H$164</definedName>
    <definedName function="false" hidden="true" localSheetId="8" name="_xlnm._FilterDatabase" vbProcedure="false">'06-Jun'!$A$3:$H$164</definedName>
    <definedName function="false" hidden="true" localSheetId="9" name="_xlnm._FilterDatabase" vbProcedure="false">'07-Jul'!$A$3:$H$164</definedName>
    <definedName function="false" hidden="true" localSheetId="10" name="_xlnm._FilterDatabase" vbProcedure="false">'08-Aug'!$A$3:$H$164</definedName>
    <definedName function="false" hidden="true" localSheetId="11" name="_xlnm._FilterDatabase" vbProcedure="false">'09-Sep'!$A$3:$H$164</definedName>
    <definedName function="false" hidden="true" localSheetId="12" name="_xlnm._FilterDatabase" vbProcedure="false">'10-Oct'!$A$3:$H$164</definedName>
    <definedName function="false" hidden="true" localSheetId="13" name="_xlnm._FilterDatabase" vbProcedure="false">'11-Nov'!$A$3:$H$164</definedName>
    <definedName function="false" hidden="true" localSheetId="14" name="_xlnm._FilterDatabase" vbProcedure="false">'12-Dec'!$A$3:$H$164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<sst xmlns="http://schemas.openxmlformats.org/spreadsheetml/2006/main" count="1044" uniqueCount="123">
  <si>
    <t xml:space="preserve">Mese</t>
  </si>
  <si>
    <t xml:space="preserve">Saldo netto mese (€)</t>
  </si>
  <si>
    <t xml:space="preserve">Saldo cumulato (€)</t>
  </si>
  <si>
    <t xml:space="preserve">Saldo iniziale (anno precedente)</t>
  </si>
  <si>
    <t xml:space="preserve">Gennaio</t>
  </si>
  <si>
    <t xml:space="preserve">Febbraio</t>
  </si>
  <si>
    <t xml:space="preserve">Marzo</t>
  </si>
  <si>
    <t xml:space="preserve">Aprile</t>
  </si>
  <si>
    <t xml:space="preserve">Maggio</t>
  </si>
  <si>
    <t xml:space="preserve">Giugno</t>
  </si>
  <si>
    <t xml:space="preserve">Luglio</t>
  </si>
  <si>
    <t xml:space="preserve">Agosto</t>
  </si>
  <si>
    <t xml:space="preserve">Settembre</t>
  </si>
  <si>
    <t xml:space="preserve">Ottobre</t>
  </si>
  <si>
    <t xml:space="preserve">Novembre</t>
  </si>
  <si>
    <t xml:space="preserve">Dicembre</t>
  </si>
  <si>
    <t xml:space="preserve">Saldo netto annuale</t>
  </si>
  <si>
    <t xml:space="preserve">Priorità</t>
  </si>
  <si>
    <t xml:space="preserve">Significato</t>
  </si>
  <si>
    <t xml:space="preserve">A</t>
  </si>
  <si>
    <t xml:space="preserve">Intoccabile (Fisco, rate critiche)</t>
  </si>
  <si>
    <t xml:space="preserve">B</t>
  </si>
  <si>
    <t xml:space="preserve">Essenziale (utenze, casa)</t>
  </si>
  <si>
    <t xml:space="preserve">C</t>
  </si>
  <si>
    <t xml:space="preserve">Gestibile/Opzionale</t>
  </si>
  <si>
    <t xml:space="preserve">Pagamento</t>
  </si>
  <si>
    <t xml:space="preserve">Valori suggeriti (menu a tendina nei mesi)</t>
  </si>
  <si>
    <t xml:space="preserve">SDD / Accredito / Bancomat / CC moglie / Contanti / Buoni pasto / Gift card / Altro</t>
  </si>
  <si>
    <t xml:space="preserve">Nota</t>
  </si>
  <si>
    <t xml:space="preserve">Importi: spese positive, entrate negative. 'Residuo (fisso)' in G2 di ogni mese.</t>
  </si>
  <si>
    <t xml:space="preserve">Pagato</t>
  </si>
  <si>
    <t xml:space="preserve">Colonna H: menu a tendina Sì/No (facoltativo).</t>
  </si>
  <si>
    <t xml:space="preserve">Protezione soft</t>
  </si>
  <si>
    <t xml:space="preserve">F2/G2 e intestazioni bloccate; righe dati modificabili. Filtri e ordinamento abilitati.</t>
  </si>
  <si>
    <t xml:space="preserve">Modifiche</t>
  </si>
  <si>
    <t xml:space="preserve">Rimossi i duplicati 'Condominio' senza data. Abilitata eliminazione/inserimento righe anche con protezione attiva.</t>
  </si>
  <si>
    <t xml:space="preserve">Residuo/Cumulato (fissi)</t>
  </si>
  <si>
    <t xml:space="preserve">In ogni mese: Residuo in K2, Cumulato in K3 (colonne J/K, fuori tabella) per evitare sovrascritture.</t>
  </si>
  <si>
    <t xml:space="preserve">Assicurazione auto</t>
  </si>
  <si>
    <t xml:space="preserve">Ricorrente il 26: 125,56€ (priorità A). Da pagare entro fine mese.</t>
  </si>
  <si>
    <t xml:space="preserve">Spesa familiare settimanale</t>
  </si>
  <si>
    <t xml:space="preserve">Inserita su tutti i sabati del mese: 170€ standard (modificabile).</t>
  </si>
  <si>
    <t xml:space="preserve">Residuo anno precedente</t>
  </si>
  <si>
    <t xml:space="preserve">Nel Sommario (riga 2): valore manuale che alimenta il cumulato.</t>
  </si>
  <si>
    <t xml:space="preserve">Segni</t>
  </si>
  <si>
    <t xml:space="preserve">Spese NEGATIVE, entrate POSITIVE. Saldo netto mese = somma importi (D) delle righe con data.</t>
  </si>
  <si>
    <t xml:space="preserve">Interpretazione</t>
  </si>
  <si>
    <t xml:space="preserve">Saldo netto mese &gt; 0 = avanzo; &lt; 0 = disavanzo. Saldo iniziale in Sommario alimenta il cumulato.</t>
  </si>
  <si>
    <t xml:space="preserve">Calendario finanziario mensile (2026)</t>
  </si>
  <si>
    <t xml:space="preserve">Come usare:</t>
  </si>
  <si>
    <t xml:space="preserve">Ogni mese ha un foglio dedicato con gli addebiti ricorrenti (1°, 15°, 27) e le eccezioni note.
Colonna 'Metodo' indica SDD/Bonifico/Buoni/etc. Modifica se necessario.
Nei mesi di Rottamazione Quater (Feb/Mag/Ago/Nov) trovi una riga a fine mese e una nota sulla 'zona rossa' 25→3.
Importi Sorgenia sono stime: aggiorna quando hai i valori effettivi.
Prime è annuale (2 gennaio).</t>
  </si>
  <si>
    <t xml:space="preserve">Buffer (promemoria):</t>
  </si>
  <si>
    <t xml:space="preserve">• Entro il 1°: 800 € (1.050 € nei mesi Rottamazione)</t>
  </si>
  <si>
    <t xml:space="preserve">• Entro il 15: 1.000 €</t>
  </si>
  <si>
    <t xml:space="preserve">• Zona Rottamazione (25→3): lasciare almeno 250 €</t>
  </si>
  <si>
    <t xml:space="preserve">Regola spesa:</t>
  </si>
  <si>
    <t xml:space="preserve">• 1 sola spesa settimanale al mese pagata con buoni pasto (accredito con stipendio il 27).</t>
  </si>
  <si>
    <t xml:space="preserve">Note mensilità extra:</t>
  </si>
  <si>
    <t xml:space="preserve">• 14esima: 27 giugno (insieme allo stipendio).</t>
  </si>
  <si>
    <t xml:space="preserve">• 13esima: spesso 24–27 dicembre; qui riportata il 27 per generalità.</t>
  </si>
  <si>
    <t xml:space="preserve">Eventi Amazon:</t>
  </si>
  <si>
    <t xml:space="preserve">• Amazon Prime: 2 gennaio (49,99 €/anno).</t>
  </si>
  <si>
    <t xml:space="preserve">JANUARY 2026</t>
  </si>
  <si>
    <t xml:space="preserve">Residuo (fisso)</t>
  </si>
  <si>
    <t xml:space="preserve">Saldo netto mese</t>
  </si>
  <si>
    <t xml:space="preserve">Data</t>
  </si>
  <si>
    <t xml:space="preserve">Categoria</t>
  </si>
  <si>
    <t xml:space="preserve">Voce</t>
  </si>
  <si>
    <t xml:space="preserve">Importo (€)</t>
  </si>
  <si>
    <t xml:space="preserve">Metodo</t>
  </si>
  <si>
    <t xml:space="preserve">Note operative</t>
  </si>
  <si>
    <t xml:space="preserve">Saldo cumulato</t>
  </si>
  <si>
    <t xml:space="preserve">Prestito</t>
  </si>
  <si>
    <t xml:space="preserve">Santander prestito auto rubata</t>
  </si>
  <si>
    <t xml:space="preserve">SDD</t>
  </si>
  <si>
    <t xml:space="preserve">Picco del 1° (mantenere buffer).</t>
  </si>
  <si>
    <t xml:space="preserve">Servizio</t>
  </si>
  <si>
    <t xml:space="preserve">Subbyx (Garmin + telefoni)</t>
  </si>
  <si>
    <t xml:space="preserve">Spostata al 1°.</t>
  </si>
  <si>
    <t xml:space="preserve">Casa</t>
  </si>
  <si>
    <t xml:space="preserve">Condominio (bimestrale)</t>
  </si>
  <si>
    <t xml:space="preserve">Mesi dispari.</t>
  </si>
  <si>
    <t xml:space="preserve">Amazon</t>
  </si>
  <si>
    <t xml:space="preserve">Amazon Prime (annuale)</t>
  </si>
  <si>
    <t xml:space="preserve">Bancomat</t>
  </si>
  <si>
    <t xml:space="preserve">Rinnovo Prime.</t>
  </si>
  <si>
    <t xml:space="preserve">Spesa</t>
  </si>
  <si>
    <t xml:space="preserve">Fineco prestito personale</t>
  </si>
  <si>
    <t xml:space="preserve">Picco del 15 (mantenere buffer).</t>
  </si>
  <si>
    <t xml:space="preserve">Compass prestito auto nuova</t>
  </si>
  <si>
    <t xml:space="preserve">Picco del 15.</t>
  </si>
  <si>
    <t xml:space="preserve">Utenza</t>
  </si>
  <si>
    <t xml:space="preserve">WindTre fibra casa</t>
  </si>
  <si>
    <t xml:space="preserve">Essenziale.</t>
  </si>
  <si>
    <t xml:space="preserve">WindTre figli</t>
  </si>
  <si>
    <t xml:space="preserve">Sorgenia elettricità (stima)</t>
  </si>
  <si>
    <t xml:space="preserve">Aggiorna quando arriva la bolletta.</t>
  </si>
  <si>
    <t xml:space="preserve">Sorgenia gas (stima)</t>
  </si>
  <si>
    <t xml:space="preserve">Entrate</t>
  </si>
  <si>
    <t xml:space="preserve">Stipendio netto</t>
  </si>
  <si>
    <t xml:space="preserve">Accredito</t>
  </si>
  <si>
    <t xml:space="preserve">Buoni pasto</t>
  </si>
  <si>
    <t xml:space="preserve">Regole operative del mese (promemoria)</t>
  </si>
  <si>
    <t xml:space="preserve">• Spesa alimentare: pagare SOLO 1 spesa settimanale al mese con buoni pasto (zero impatto sul C/C).</t>
  </si>
  <si>
    <t xml:space="preserve">• Amazon: preferire credito/buoni regalo; evitare addebiti diretti da C/C salvo necessità di tua moglie.</t>
  </si>
  <si>
    <t xml:space="preserve">• Niente prelievi nei 3–4 giorni prima del 1° e del 15. Nei mesi Rottamazione: niente prelievi 25→3.</t>
  </si>
  <si>
    <t xml:space="preserve">• Santander/Compass: evitare qualunque giorno di ritardo (mora giornaliera elevata).</t>
  </si>
  <si>
    <t xml:space="preserve">FEBRUARY 2026</t>
  </si>
  <si>
    <t xml:space="preserve">Auto</t>
  </si>
  <si>
    <t xml:space="preserve">Assicurazione auto (mensile)</t>
  </si>
  <si>
    <t xml:space="preserve">Da pagare entro fine mese (se no auto ferma dal 1°).</t>
  </si>
  <si>
    <t xml:space="preserve">MARCH 2026</t>
  </si>
  <si>
    <t xml:space="preserve">APRIL 2026</t>
  </si>
  <si>
    <t xml:space="preserve">MAY 2026</t>
  </si>
  <si>
    <t xml:space="preserve">JUNE 2026</t>
  </si>
  <si>
    <t xml:space="preserve">Stipendio+quattordicesima</t>
  </si>
  <si>
    <t xml:space="preserve">JULY 2026</t>
  </si>
  <si>
    <t xml:space="preserve">AUGUST 2026</t>
  </si>
  <si>
    <t xml:space="preserve">SEPTEMBER 2026</t>
  </si>
  <si>
    <t xml:space="preserve">OCTOBER 2026</t>
  </si>
  <si>
    <t xml:space="preserve">NOVEMBER 2026</t>
  </si>
  <si>
    <t xml:space="preserve">DECEMBER 2026</t>
  </si>
  <si>
    <t xml:space="preserve">Stipendio+Tredicesima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</si>
</sst>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dd/mm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1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404040"/>
        <bgColor rgb="FF3333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/>
      <right/>
      <top style="thin">
        <color rgb="FFD9D9D9"/>
      </top>
      <bottom style="thin">
        <color rgb="FFD9D9D9"/>
      </bottom>
      <diagonal/>
    </border>
    <border diagonalUp="false" diagonalDown="false"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0" xfId="2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" xfId="20" applyFont="false" applyBorder="true" applyAlignment="true" applyProtection="true">
      <alignment horizontal="left" vertical="center" textRotation="0" wrapText="false" indent="0" shrinkToFit="false"/>
      <protection locked="false" hidden="false"/>
    </xf>
    <xf numFmtId="164" fontId="4" fillId="0" borderId="1" xfId="2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4" fillId="0" borderId="1" xfId="20" applyFont="fals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4" fillId="0" borderId="1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1" xfId="2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4" fillId="0" borderId="1" xfId="2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0" xfId="2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7" fillId="3" borderId="1" xfId="2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4" fillId="0" borderId="2" xfId="2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3" xfId="2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1" xfId="20" applyFont="false" applyBorder="true" applyAlignment="true" applyProtection="true">
      <alignment horizontal="left" vertical="center" textRotation="0" wrapText="false" indent="0" shrinkToFit="false"/>
      <protection locked="false" hidden="false"/>
    </xf>
    <xf numFmtId="164" fontId="4" fillId="0" borderId="1" xfId="20" applyFont="false" applyBorder="true" applyAlignment="true" applyProtection="true">
      <alignment horizontal="general" vertical="top" textRotation="0" wrapText="true" indent="0" shrinkToFit="false"/>
      <protection locked="fals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1">
    <dxf>
      <fill>
        <patternFill patternType="solid">
          <fgColor rgb="FF404040"/>
          <bgColor rgb="FF000000"/>
        </patternFill>
      </fill>
    </dxf>
    <dxf>
      <fill>
        <patternFill patternType="solid">
          <fgColor rgb="FFD1E7DD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8D7DA"/>
        </patternFill>
      </fill>
    </dxf>
    <dxf>
      <fill>
        <patternFill>
          <bgColor rgb="FFFFF3CD"/>
        </patternFill>
      </fill>
    </dxf>
    <dxf>
      <fill>
        <patternFill>
          <bgColor rgb="FFD1E7D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E7DD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0" sqref="C3"/>
    </sheetView>
  </sheetViews>
  <sheetFormatPr defaultColWidth="9.7578125" defaultRowHeight="15" customHeight="true" zeroHeight="false" outlineLevelRow="0" outlineLevelCol="0"/>
  <cols>
    <col collapsed="false" customWidth="true" hidden="false" outlineLevel="0" max="1" min="1" style="0" width="24.98"/>
    <col collapsed="false" customWidth="true" hidden="false" outlineLevel="0" max="3" min="2" style="0" width="18.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3"/>
      <c r="C2" s="3" t="n">
        <v>1200</v>
      </c>
    </row>
    <row r="3" customFormat="false" ht="15" hidden="false" customHeight="false" outlineLevel="0" collapsed="false">
      <c r="A3" s="0" t="s">
        <v>4</v>
      </c>
      <c r="B3" s="3" t="n">
        <f aca="false">'01-Jan'!$K$2</f>
        <v>-401.99</v>
      </c>
      <c r="C3" s="3" t="n">
        <f aca="false">C2+B3</f>
        <v>798.01</v>
      </c>
    </row>
    <row r="4" customFormat="false" ht="15" hidden="false" customHeight="false" outlineLevel="0" collapsed="false">
      <c r="A4" s="0" t="s">
        <v>5</v>
      </c>
      <c r="B4" s="3" t="n">
        <f aca="false">'02-Feb'!$K$2</f>
        <v>-153.56</v>
      </c>
      <c r="C4" s="3" t="n">
        <f aca="false">C3+B4</f>
        <v>644.45</v>
      </c>
    </row>
    <row r="5" customFormat="false" ht="15" hidden="false" customHeight="false" outlineLevel="0" collapsed="false">
      <c r="A5" s="0" t="s">
        <v>6</v>
      </c>
      <c r="B5" s="3" t="n">
        <f aca="false">'03-Mar'!$K$2</f>
        <v>-182</v>
      </c>
      <c r="C5" s="3" t="n">
        <f aca="false">C4+B5</f>
        <v>462.45</v>
      </c>
    </row>
    <row r="6" customFormat="false" ht="15" hidden="false" customHeight="false" outlineLevel="0" collapsed="false">
      <c r="A6" s="0" t="s">
        <v>7</v>
      </c>
      <c r="B6" s="3" t="n">
        <f aca="false">'04-Apr'!$K$2</f>
        <v>-28</v>
      </c>
      <c r="C6" s="3" t="n">
        <f aca="false">C5+B6</f>
        <v>434.45</v>
      </c>
    </row>
    <row r="7" customFormat="false" ht="15" hidden="false" customHeight="false" outlineLevel="0" collapsed="false">
      <c r="A7" s="0" t="s">
        <v>8</v>
      </c>
      <c r="B7" s="3" t="n">
        <f aca="false">'05-May'!$K$2</f>
        <v>-352</v>
      </c>
      <c r="C7" s="3" t="n">
        <f aca="false">C6+B7</f>
        <v>82.4500000000001</v>
      </c>
    </row>
    <row r="8" customFormat="false" ht="15" hidden="false" customHeight="false" outlineLevel="0" collapsed="false">
      <c r="A8" s="0" t="s">
        <v>9</v>
      </c>
      <c r="B8" s="3" t="n">
        <f aca="false">'06-Jun'!$K$2</f>
        <v>2352</v>
      </c>
      <c r="C8" s="3" t="n">
        <f aca="false">C7+B8</f>
        <v>2434.45</v>
      </c>
    </row>
    <row r="9" customFormat="false" ht="15" hidden="false" customHeight="false" outlineLevel="0" collapsed="false">
      <c r="A9" s="0" t="s">
        <v>10</v>
      </c>
      <c r="B9" s="3" t="n">
        <f aca="false">'07-Jul'!$K$2</f>
        <v>-182</v>
      </c>
      <c r="C9" s="3" t="n">
        <f aca="false">C8+B9</f>
        <v>2252.45</v>
      </c>
    </row>
    <row r="10" customFormat="false" ht="15" hidden="false" customHeight="false" outlineLevel="0" collapsed="false">
      <c r="A10" s="0" t="s">
        <v>11</v>
      </c>
      <c r="B10" s="3" t="n">
        <f aca="false">'08-Aug'!$K$2</f>
        <v>-198</v>
      </c>
      <c r="C10" s="3" t="n">
        <f aca="false">C9+B10</f>
        <v>2054.45</v>
      </c>
    </row>
    <row r="11" customFormat="false" ht="15" hidden="false" customHeight="false" outlineLevel="0" collapsed="false">
      <c r="A11" s="0" t="s">
        <v>12</v>
      </c>
      <c r="B11" s="3" t="n">
        <f aca="false">'09-Sep'!$K$2</f>
        <v>-182</v>
      </c>
      <c r="C11" s="3" t="n">
        <f aca="false">C10+B11</f>
        <v>1872.45</v>
      </c>
    </row>
    <row r="12" customFormat="false" ht="15" hidden="false" customHeight="false" outlineLevel="0" collapsed="false">
      <c r="A12" s="0" t="s">
        <v>13</v>
      </c>
      <c r="B12" s="3" t="n">
        <f aca="false">'10-Oct'!$K$2</f>
        <v>-198</v>
      </c>
      <c r="C12" s="3" t="n">
        <f aca="false">C11+B12</f>
        <v>1674.45</v>
      </c>
    </row>
    <row r="13" customFormat="false" ht="15" hidden="false" customHeight="false" outlineLevel="0" collapsed="false">
      <c r="A13" s="0" t="s">
        <v>14</v>
      </c>
      <c r="B13" s="3" t="n">
        <f aca="false">'11-Nov'!$K$2</f>
        <v>-182</v>
      </c>
      <c r="C13" s="3" t="n">
        <f aca="false">C12+B13</f>
        <v>1492.45</v>
      </c>
    </row>
    <row r="14" customFormat="false" ht="15" hidden="false" customHeight="false" outlineLevel="0" collapsed="false">
      <c r="A14" s="0" t="s">
        <v>15</v>
      </c>
      <c r="B14" s="3" t="n">
        <f aca="false">'12-Dec'!$K$2</f>
        <v>2352</v>
      </c>
      <c r="C14" s="3" t="n">
        <f aca="false">C13+B14</f>
        <v>3844.45</v>
      </c>
    </row>
    <row r="15" customFormat="false" ht="15" hidden="false" customHeight="false" outlineLevel="0" collapsed="false">
      <c r="A15" s="2" t="s">
        <v>16</v>
      </c>
      <c r="B15" s="4" t="n">
        <f aca="false">SUM(B3:B14)</f>
        <v>2644.45</v>
      </c>
      <c r="C15" s="4" t="n">
        <f aca="false">C14</f>
        <v>3844.45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9.7578125" defaultRowHeight="15" customHeight="true" zeroHeight="false" outlineLevelRow="0" outlineLevelCol="0"/>
  <cols>
    <col collapsed="false" customWidth="true" hidden="false" outlineLevel="0" max="1" min="1" style="0" width="31.78"/>
    <col collapsed="false" customWidth="true" hidden="false" outlineLevel="0" max="2" min="2" style="0" width="79.46"/>
  </cols>
  <sheetData>
    <row r="1" customFormat="false" ht="15" hidden="false" customHeight="false" outlineLevel="0" collapsed="false">
      <c r="A1" s="5" t="s">
        <v>17</v>
      </c>
      <c r="B1" s="5" t="s">
        <v>18</v>
      </c>
    </row>
    <row r="2" customFormat="false" ht="15" hidden="false" customHeight="false" outlineLevel="0" collapsed="false">
      <c r="A2" s="6" t="s">
        <v>19</v>
      </c>
      <c r="B2" s="6" t="s">
        <v>20</v>
      </c>
    </row>
    <row r="3" customFormat="false" ht="15" hidden="false" customHeight="false" outlineLevel="0" collapsed="false">
      <c r="A3" s="6" t="s">
        <v>21</v>
      </c>
      <c r="B3" s="6" t="s">
        <v>22</v>
      </c>
    </row>
    <row r="4" customFormat="false" ht="15" hidden="false" customHeight="false" outlineLevel="0" collapsed="false">
      <c r="A4" s="6" t="s">
        <v>23</v>
      </c>
      <c r="B4" s="6" t="s">
        <v>24</v>
      </c>
    </row>
    <row r="5" customFormat="false" ht="15" hidden="false" customHeight="false" outlineLevel="0" collapsed="false">
      <c r="A5" s="6"/>
      <c r="B5" s="6"/>
    </row>
    <row r="6" customFormat="false" ht="15" hidden="false" customHeight="false" outlineLevel="0" collapsed="false">
      <c r="A6" s="5" t="s">
        <v>25</v>
      </c>
      <c r="B6" s="5" t="s">
        <v>26</v>
      </c>
    </row>
    <row r="7" customFormat="false" ht="15" hidden="false" customHeight="false" outlineLevel="0" collapsed="false">
      <c r="A7" s="6" t="s">
        <v>27</v>
      </c>
      <c r="B7" s="6"/>
    </row>
    <row r="8" customFormat="false" ht="15" hidden="false" customHeight="false" outlineLevel="0" collapsed="false">
      <c r="A8" s="6"/>
      <c r="B8" s="6"/>
    </row>
    <row r="9" customFormat="false" ht="15" hidden="false" customHeight="false" outlineLevel="0" collapsed="false">
      <c r="A9" s="5" t="s">
        <v>28</v>
      </c>
      <c r="B9" s="5" t="s">
        <v>29</v>
      </c>
    </row>
    <row r="10" customFormat="false" ht="15" hidden="false" customHeight="false" outlineLevel="0" collapsed="false">
      <c r="A10" s="6"/>
      <c r="B10" s="6"/>
    </row>
    <row r="12" customFormat="false" ht="15" hidden="false" customHeight="false" outlineLevel="0" collapsed="false">
      <c r="A12" s="5" t="s">
        <v>30</v>
      </c>
      <c r="B12" s="6" t="s">
        <v>31</v>
      </c>
    </row>
    <row r="14" customFormat="false" ht="15" hidden="false" customHeight="false" outlineLevel="0" collapsed="false">
      <c r="A14" s="5" t="s">
        <v>32</v>
      </c>
      <c r="B14" s="6" t="s">
        <v>33</v>
      </c>
    </row>
    <row r="16" customFormat="false" ht="15" hidden="false" customHeight="false" outlineLevel="0" collapsed="false">
      <c r="A16" s="2" t="s">
        <v>34</v>
      </c>
      <c r="B16" s="0" t="s">
        <v>35</v>
      </c>
    </row>
    <row r="18" customFormat="false" ht="15" hidden="false" customHeight="false" outlineLevel="0" collapsed="false">
      <c r="A18" s="2" t="s">
        <v>36</v>
      </c>
      <c r="B18" s="0" t="s">
        <v>37</v>
      </c>
    </row>
    <row r="20" customFormat="false" ht="15" hidden="false" customHeight="false" outlineLevel="0" collapsed="false">
      <c r="A20" s="2" t="s">
        <v>38</v>
      </c>
      <c r="B20" s="0" t="s">
        <v>39</v>
      </c>
    </row>
    <row r="21" customFormat="false" ht="15" hidden="false" customHeight="false" outlineLevel="0" collapsed="false">
      <c r="A21" s="2" t="s">
        <v>40</v>
      </c>
      <c r="B21" s="0" t="s">
        <v>41</v>
      </c>
    </row>
    <row r="22" customFormat="false" ht="15" hidden="false" customHeight="false" outlineLevel="0" collapsed="false">
      <c r="A22" s="2" t="s">
        <v>42</v>
      </c>
      <c r="B22" s="0" t="s">
        <v>43</v>
      </c>
    </row>
    <row r="24" customFormat="false" ht="15" hidden="false" customHeight="false" outlineLevel="0" collapsed="false">
      <c r="A24" s="2" t="s">
        <v>44</v>
      </c>
      <c r="B24" s="0" t="s">
        <v>45</v>
      </c>
    </row>
    <row r="25" customFormat="false" ht="15" hidden="false" customHeight="false" outlineLevel="0" collapsed="false">
      <c r="A25" s="2" t="s">
        <v>46</v>
      </c>
      <c r="B25" s="0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578125" defaultRowHeight="15" customHeight="true" zeroHeight="false" outlineLevelRow="0" outlineLevelCol="0"/>
  <cols>
    <col collapsed="false" customWidth="true" hidden="false" outlineLevel="0" max="1" min="1" style="0" width="3.41"/>
    <col collapsed="false" customWidth="true" hidden="false" outlineLevel="0" max="2" min="2" style="0" width="90.81"/>
  </cols>
  <sheetData>
    <row r="1" customFormat="false" ht="17.35" hidden="false" customHeight="false" outlineLevel="0" collapsed="false">
      <c r="B1" s="7" t="s">
        <v>48</v>
      </c>
    </row>
    <row r="3" customFormat="false" ht="15" hidden="false" customHeight="false" outlineLevel="0" collapsed="false">
      <c r="B3" s="2" t="s">
        <v>49</v>
      </c>
    </row>
    <row r="4" customFormat="false" ht="91" hidden="false" customHeight="false" outlineLevel="0" collapsed="false">
      <c r="B4" s="8" t="s">
        <v>50</v>
      </c>
    </row>
    <row r="6" customFormat="false" ht="15" hidden="false" customHeight="false" outlineLevel="0" collapsed="false">
      <c r="B6" s="2" t="s">
        <v>51</v>
      </c>
    </row>
    <row r="7" customFormat="false" ht="15" hidden="false" customHeight="false" outlineLevel="0" collapsed="false">
      <c r="B7" s="0" t="s">
        <v>52</v>
      </c>
    </row>
    <row r="8" customFormat="false" ht="15" hidden="false" customHeight="false" outlineLevel="0" collapsed="false">
      <c r="B8" s="0" t="s">
        <v>53</v>
      </c>
    </row>
    <row r="9" customFormat="false" ht="15" hidden="false" customHeight="false" outlineLevel="0" collapsed="false">
      <c r="B9" s="0" t="s">
        <v>54</v>
      </c>
    </row>
    <row r="11" customFormat="false" ht="15" hidden="false" customHeight="false" outlineLevel="0" collapsed="false">
      <c r="B11" s="2" t="s">
        <v>55</v>
      </c>
    </row>
    <row r="12" customFormat="false" ht="15" hidden="false" customHeight="false" outlineLevel="0" collapsed="false">
      <c r="B12" s="0" t="s">
        <v>56</v>
      </c>
    </row>
    <row r="14" customFormat="false" ht="15" hidden="false" customHeight="false" outlineLevel="0" collapsed="false">
      <c r="B14" s="2" t="s">
        <v>57</v>
      </c>
    </row>
    <row r="15" customFormat="false" ht="15" hidden="false" customHeight="false" outlineLevel="0" collapsed="false">
      <c r="B15" s="0" t="s">
        <v>58</v>
      </c>
    </row>
    <row r="16" customFormat="false" ht="15" hidden="false" customHeight="false" outlineLevel="0" collapsed="false">
      <c r="B16" s="0" t="s">
        <v>59</v>
      </c>
    </row>
    <row r="18" customFormat="false" ht="15" hidden="false" customHeight="false" outlineLevel="0" collapsed="false">
      <c r="B18" s="2" t="s">
        <v>60</v>
      </c>
    </row>
    <row r="19" customFormat="false" ht="15" hidden="false" customHeight="false" outlineLevel="0" collapsed="false">
      <c r="B19" s="0" t="s">
        <v>61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E19" activeCellId="0" sqref="E19"/>
    </sheetView>
  </sheetViews>
  <sheetFormatPr defaultColWidth="9.7578125" defaultRowHeight="15" customHeight="true" zeroHeight="false" outlineLevelRow="0" outlineLevelCol="0"/>
  <cols>
    <col collapsed="false" customWidth="true" hidden="false" outlineLevel="0" max="1" min="1" style="0" width="13.62"/>
    <col collapsed="false" customWidth="true" hidden="false" outlineLevel="0" max="2" min="2" style="0" width="15.89"/>
    <col collapsed="false" customWidth="true" hidden="false" outlineLevel="0" max="3" min="3" style="0" width="43.14"/>
    <col collapsed="false" customWidth="true" hidden="false" outlineLevel="0" max="5" min="4" style="0" width="15.89"/>
    <col collapsed="false" customWidth="true" hidden="false" outlineLevel="0" max="6" min="6" style="0" width="9.08"/>
    <col collapsed="false" customWidth="true" hidden="false" outlineLevel="0" max="7" min="7" style="0" width="45.41"/>
    <col collapsed="false" customWidth="true" hidden="false" outlineLevel="0" max="8" min="8" style="0" width="11.35"/>
    <col collapsed="false" customWidth="true" hidden="false" outlineLevel="0" max="10" min="10" style="0" width="20.43"/>
    <col collapsed="false" customWidth="true" hidden="false" outlineLevel="0" max="11" min="11" style="0" width="18.16"/>
  </cols>
  <sheetData>
    <row r="1" customFormat="false" ht="27.75" hidden="false" customHeight="true" outlineLevel="0" collapsed="false">
      <c r="A1" s="9" t="s">
        <v>62</v>
      </c>
      <c r="B1" s="9"/>
      <c r="C1" s="9"/>
      <c r="D1" s="9"/>
      <c r="E1" s="9"/>
      <c r="F1" s="9"/>
      <c r="G1" s="9"/>
    </row>
    <row r="2" customFormat="false" ht="15" hidden="false" customHeight="false" outlineLevel="0" collapsed="false">
      <c r="F2" s="10" t="s">
        <v>63</v>
      </c>
      <c r="G2" s="4" t="n">
        <f aca="false">SUMIF($A:$A,"&lt;&gt;",$D:$D)</f>
        <v>-401.99</v>
      </c>
      <c r="J2" s="10" t="s">
        <v>64</v>
      </c>
      <c r="K2" s="4" t="n">
        <f aca="false">SUMIF($A:$A,"&lt;&gt;",$D:$D)</f>
        <v>-401.99</v>
      </c>
    </row>
    <row r="3" customFormat="false" ht="24" hidden="false" customHeight="true" outlineLevel="0" collapsed="false">
      <c r="A3" s="11" t="s">
        <v>65</v>
      </c>
      <c r="B3" s="11" t="s">
        <v>66</v>
      </c>
      <c r="C3" s="11" t="s">
        <v>67</v>
      </c>
      <c r="D3" s="11" t="s">
        <v>68</v>
      </c>
      <c r="E3" s="11" t="s">
        <v>69</v>
      </c>
      <c r="F3" s="11" t="s">
        <v>17</v>
      </c>
      <c r="G3" s="11" t="s">
        <v>70</v>
      </c>
      <c r="H3" s="11" t="s">
        <v>30</v>
      </c>
      <c r="J3" s="10" t="s">
        <v>71</v>
      </c>
      <c r="K3" s="4" t="n">
        <f aca="false">$K$2</f>
        <v>-401.99</v>
      </c>
    </row>
    <row r="4" customFormat="false" ht="18" hidden="false" customHeight="true" outlineLevel="0" collapsed="false">
      <c r="A4" s="12" t="n">
        <v>46023</v>
      </c>
      <c r="B4" s="13" t="s">
        <v>72</v>
      </c>
      <c r="C4" s="13" t="s">
        <v>73</v>
      </c>
      <c r="D4" s="14" t="n">
        <v>-742</v>
      </c>
      <c r="E4" s="13" t="s">
        <v>74</v>
      </c>
      <c r="F4" s="15" t="s">
        <v>19</v>
      </c>
      <c r="G4" s="16" t="s">
        <v>75</v>
      </c>
      <c r="H4" s="17"/>
    </row>
    <row r="5" customFormat="false" ht="18" hidden="false" customHeight="true" outlineLevel="0" collapsed="false">
      <c r="A5" s="12" t="n">
        <v>46023</v>
      </c>
      <c r="B5" s="13" t="s">
        <v>76</v>
      </c>
      <c r="C5" s="13" t="s">
        <v>77</v>
      </c>
      <c r="D5" s="14" t="n">
        <v>-38</v>
      </c>
      <c r="E5" s="13" t="s">
        <v>74</v>
      </c>
      <c r="F5" s="15" t="s">
        <v>21</v>
      </c>
      <c r="G5" s="16" t="s">
        <v>78</v>
      </c>
      <c r="H5" s="17"/>
    </row>
    <row r="6" customFormat="false" ht="18" hidden="false" customHeight="true" outlineLevel="0" collapsed="false">
      <c r="A6" s="12" t="n">
        <v>46023</v>
      </c>
      <c r="B6" s="13" t="s">
        <v>79</v>
      </c>
      <c r="C6" s="13" t="s">
        <v>80</v>
      </c>
      <c r="D6" s="14" t="n">
        <v>-154</v>
      </c>
      <c r="E6" s="13" t="s">
        <v>74</v>
      </c>
      <c r="F6" s="15" t="s">
        <v>21</v>
      </c>
      <c r="G6" s="16" t="s">
        <v>81</v>
      </c>
      <c r="H6" s="17"/>
    </row>
    <row r="7" customFormat="false" ht="18" hidden="false" customHeight="true" outlineLevel="0" collapsed="false">
      <c r="A7" s="12" t="n">
        <v>46024</v>
      </c>
      <c r="B7" s="13" t="s">
        <v>82</v>
      </c>
      <c r="C7" s="13" t="s">
        <v>83</v>
      </c>
      <c r="D7" s="14" t="n">
        <v>-49.99</v>
      </c>
      <c r="E7" s="13" t="s">
        <v>84</v>
      </c>
      <c r="F7" s="15" t="s">
        <v>23</v>
      </c>
      <c r="G7" s="16" t="s">
        <v>85</v>
      </c>
      <c r="H7" s="17"/>
    </row>
    <row r="8" customFormat="false" ht="18" hidden="false" customHeight="true" outlineLevel="0" collapsed="false">
      <c r="A8" s="12" t="n">
        <v>46025</v>
      </c>
      <c r="B8" s="13" t="s">
        <v>86</v>
      </c>
      <c r="C8" s="13" t="s">
        <v>40</v>
      </c>
      <c r="D8" s="14" t="n">
        <v>-170</v>
      </c>
      <c r="E8" s="13" t="s">
        <v>84</v>
      </c>
      <c r="F8" s="15" t="s">
        <v>21</v>
      </c>
      <c r="G8" s="16"/>
      <c r="H8" s="17"/>
    </row>
    <row r="9" customFormat="false" ht="18" hidden="false" customHeight="true" outlineLevel="0" collapsed="false">
      <c r="A9" s="12" t="n">
        <v>46032</v>
      </c>
      <c r="B9" s="13" t="s">
        <v>86</v>
      </c>
      <c r="C9" s="13" t="s">
        <v>40</v>
      </c>
      <c r="D9" s="14" t="n">
        <v>-170</v>
      </c>
      <c r="E9" s="13" t="s">
        <v>84</v>
      </c>
      <c r="F9" s="15" t="s">
        <v>21</v>
      </c>
      <c r="G9" s="16"/>
      <c r="H9" s="17"/>
    </row>
    <row r="10" customFormat="false" ht="18" hidden="false" customHeight="true" outlineLevel="0" collapsed="false">
      <c r="A10" s="12" t="n">
        <v>46037</v>
      </c>
      <c r="B10" s="13" t="s">
        <v>72</v>
      </c>
      <c r="C10" s="13" t="s">
        <v>87</v>
      </c>
      <c r="D10" s="14" t="n">
        <v>-218</v>
      </c>
      <c r="E10" s="13" t="s">
        <v>74</v>
      </c>
      <c r="F10" s="15" t="s">
        <v>19</v>
      </c>
      <c r="G10" s="16" t="s">
        <v>88</v>
      </c>
      <c r="H10" s="17"/>
    </row>
    <row r="11" customFormat="false" ht="18" hidden="false" customHeight="true" outlineLevel="0" collapsed="false">
      <c r="A11" s="12" t="n">
        <v>46037</v>
      </c>
      <c r="B11" s="13" t="s">
        <v>72</v>
      </c>
      <c r="C11" s="13" t="s">
        <v>89</v>
      </c>
      <c r="D11" s="14" t="n">
        <v>-545</v>
      </c>
      <c r="E11" s="13" t="s">
        <v>74</v>
      </c>
      <c r="F11" s="15" t="s">
        <v>19</v>
      </c>
      <c r="G11" s="16" t="s">
        <v>90</v>
      </c>
      <c r="H11" s="17"/>
    </row>
    <row r="12" customFormat="false" ht="18" hidden="false" customHeight="true" outlineLevel="0" collapsed="false">
      <c r="A12" s="12" t="n">
        <v>46037</v>
      </c>
      <c r="B12" s="13" t="s">
        <v>91</v>
      </c>
      <c r="C12" s="13" t="s">
        <v>92</v>
      </c>
      <c r="D12" s="14" t="n">
        <v>-31</v>
      </c>
      <c r="E12" s="13" t="s">
        <v>74</v>
      </c>
      <c r="F12" s="15" t="s">
        <v>21</v>
      </c>
      <c r="G12" s="16" t="s">
        <v>93</v>
      </c>
      <c r="H12" s="17"/>
    </row>
    <row r="13" customFormat="false" ht="18" hidden="false" customHeight="true" outlineLevel="0" collapsed="false">
      <c r="A13" s="12" t="n">
        <v>46037</v>
      </c>
      <c r="B13" s="13" t="s">
        <v>91</v>
      </c>
      <c r="C13" s="13" t="s">
        <v>94</v>
      </c>
      <c r="D13" s="14" t="n">
        <v>-14</v>
      </c>
      <c r="E13" s="13" t="s">
        <v>74</v>
      </c>
      <c r="F13" s="15" t="s">
        <v>21</v>
      </c>
      <c r="G13" s="16" t="s">
        <v>93</v>
      </c>
      <c r="H13" s="17"/>
    </row>
    <row r="14" customFormat="false" ht="18" hidden="false" customHeight="true" outlineLevel="0" collapsed="false">
      <c r="A14" s="12" t="n">
        <v>46037</v>
      </c>
      <c r="B14" s="13" t="s">
        <v>91</v>
      </c>
      <c r="C14" s="13" t="s">
        <v>95</v>
      </c>
      <c r="D14" s="14" t="n">
        <v>-120</v>
      </c>
      <c r="E14" s="13" t="s">
        <v>74</v>
      </c>
      <c r="F14" s="15" t="s">
        <v>21</v>
      </c>
      <c r="G14" s="16" t="s">
        <v>96</v>
      </c>
      <c r="H14" s="17"/>
    </row>
    <row r="15" customFormat="false" ht="18" hidden="false" customHeight="true" outlineLevel="0" collapsed="false">
      <c r="A15" s="12" t="n">
        <v>46037</v>
      </c>
      <c r="B15" s="13" t="s">
        <v>91</v>
      </c>
      <c r="C15" s="13" t="s">
        <v>97</v>
      </c>
      <c r="D15" s="14" t="n">
        <v>-20</v>
      </c>
      <c r="E15" s="13" t="s">
        <v>74</v>
      </c>
      <c r="F15" s="15" t="s">
        <v>21</v>
      </c>
      <c r="G15" s="16" t="s">
        <v>96</v>
      </c>
      <c r="H15" s="17"/>
    </row>
    <row r="16" customFormat="false" ht="19.5" hidden="false" customHeight="true" outlineLevel="0" collapsed="false">
      <c r="A16" s="12" t="n">
        <v>46039</v>
      </c>
      <c r="B16" s="13" t="s">
        <v>86</v>
      </c>
      <c r="C16" s="13" t="s">
        <v>40</v>
      </c>
      <c r="D16" s="14" t="n">
        <v>-170</v>
      </c>
      <c r="E16" s="13" t="s">
        <v>84</v>
      </c>
      <c r="F16" s="15" t="s">
        <v>21</v>
      </c>
      <c r="G16" s="16"/>
      <c r="H16" s="17"/>
    </row>
    <row r="17" customFormat="false" ht="18" hidden="false" customHeight="true" outlineLevel="0" collapsed="false">
      <c r="A17" s="12" t="n">
        <v>46046</v>
      </c>
      <c r="B17" s="13" t="s">
        <v>86</v>
      </c>
      <c r="C17" s="13" t="s">
        <v>40</v>
      </c>
      <c r="D17" s="14" t="n">
        <v>-170</v>
      </c>
      <c r="E17" s="13" t="s">
        <v>84</v>
      </c>
      <c r="F17" s="15" t="s">
        <v>21</v>
      </c>
      <c r="G17" s="16"/>
      <c r="H17" s="17"/>
    </row>
    <row r="18" customFormat="false" ht="18" hidden="false" customHeight="true" outlineLevel="0" collapsed="false">
      <c r="A18" s="12" t="n">
        <v>46049</v>
      </c>
      <c r="B18" s="13" t="s">
        <v>98</v>
      </c>
      <c r="C18" s="13" t="s">
        <v>99</v>
      </c>
      <c r="D18" s="14" t="n">
        <v>2380</v>
      </c>
      <c r="E18" s="13" t="s">
        <v>100</v>
      </c>
      <c r="F18" s="15" t="s">
        <v>19</v>
      </c>
      <c r="G18" s="16"/>
      <c r="H18" s="17"/>
    </row>
    <row r="19" customFormat="false" ht="18" hidden="false" customHeight="true" outlineLevel="0" collapsed="false">
      <c r="A19" s="12" t="n">
        <v>46053</v>
      </c>
      <c r="B19" s="13" t="s">
        <v>86</v>
      </c>
      <c r="C19" s="13" t="s">
        <v>40</v>
      </c>
      <c r="D19" s="14" t="n">
        <v>-170</v>
      </c>
      <c r="E19" s="13" t="s">
        <v>101</v>
      </c>
      <c r="F19" s="15" t="s">
        <v>21</v>
      </c>
      <c r="G19" s="16"/>
      <c r="H19" s="17"/>
    </row>
    <row r="20" customFormat="false" ht="18" hidden="false" customHeight="true" outlineLevel="0" collapsed="false">
      <c r="A20" s="12"/>
      <c r="B20" s="18"/>
      <c r="C20" s="18"/>
      <c r="D20" s="18"/>
      <c r="E20" s="18"/>
      <c r="F20" s="18"/>
      <c r="G20" s="18"/>
      <c r="H20" s="17"/>
    </row>
    <row r="21" customFormat="false" ht="16.4" hidden="false" customHeight="true" outlineLevel="0" collapsed="false">
      <c r="A21" s="19" t="s">
        <v>102</v>
      </c>
      <c r="B21" s="19"/>
      <c r="C21" s="19"/>
      <c r="D21" s="19"/>
      <c r="E21" s="19"/>
      <c r="F21" s="19"/>
      <c r="G21" s="19"/>
      <c r="H21" s="19"/>
    </row>
    <row r="22" customFormat="false" ht="16.4" hidden="false" customHeight="false" outlineLevel="0" collapsed="false">
      <c r="A22" s="12" t="s">
        <v>103</v>
      </c>
      <c r="B22" s="20"/>
      <c r="C22" s="21"/>
      <c r="D22" s="20"/>
      <c r="E22" s="20"/>
      <c r="F22" s="20"/>
      <c r="G22" s="21"/>
      <c r="H22" s="17"/>
    </row>
    <row r="23" customFormat="false" ht="16.4" hidden="false" customHeight="false" outlineLevel="0" collapsed="false">
      <c r="A23" s="12" t="s">
        <v>104</v>
      </c>
      <c r="B23" s="20"/>
      <c r="C23" s="20"/>
      <c r="D23" s="20"/>
      <c r="E23" s="20"/>
      <c r="F23" s="20"/>
      <c r="G23" s="21"/>
      <c r="H23" s="17"/>
    </row>
    <row r="24" customFormat="false" ht="16.4" hidden="false" customHeight="false" outlineLevel="0" collapsed="false">
      <c r="A24" s="12" t="s">
        <v>105</v>
      </c>
      <c r="B24" s="20"/>
      <c r="C24" s="21"/>
      <c r="D24" s="18"/>
      <c r="E24" s="18"/>
      <c r="F24" s="18"/>
      <c r="G24" s="18"/>
      <c r="H24" s="17"/>
    </row>
    <row r="25" customFormat="false" ht="16.4" hidden="false" customHeight="false" outlineLevel="0" collapsed="false">
      <c r="A25" s="12" t="s">
        <v>106</v>
      </c>
      <c r="B25" s="20"/>
      <c r="C25" s="20"/>
      <c r="D25" s="20"/>
      <c r="E25" s="20"/>
      <c r="F25" s="20"/>
      <c r="G25" s="21"/>
      <c r="H25" s="17"/>
    </row>
    <row r="26" customFormat="false" ht="15" hidden="false" customHeight="false" outlineLevel="0" collapsed="false">
      <c r="A26" s="12"/>
      <c r="B26" s="13"/>
      <c r="C26" s="13"/>
      <c r="D26" s="14"/>
      <c r="E26" s="13"/>
      <c r="F26" s="15"/>
      <c r="G26" s="16"/>
      <c r="H26" s="17"/>
    </row>
    <row r="27" customFormat="false" ht="16.4" hidden="false" customHeight="false" outlineLevel="0" collapsed="false">
      <c r="A27" s="12"/>
      <c r="B27" s="13"/>
      <c r="C27" s="13"/>
      <c r="D27" s="20"/>
      <c r="E27" s="20"/>
      <c r="F27" s="20"/>
      <c r="G27" s="21"/>
      <c r="H27" s="17"/>
    </row>
    <row r="28" customFormat="false" ht="15" hidden="false" customHeight="false" outlineLevel="0" collapsed="false">
      <c r="A28" s="12"/>
      <c r="B28" s="13"/>
      <c r="C28" s="13"/>
      <c r="D28" s="14"/>
      <c r="E28" s="13"/>
      <c r="F28" s="15"/>
      <c r="G28" s="16"/>
      <c r="H28" s="17"/>
    </row>
    <row r="29" customFormat="false" ht="15" hidden="false" customHeight="false" outlineLevel="0" collapsed="false">
      <c r="A29" s="12"/>
      <c r="B29" s="13"/>
      <c r="C29" s="13"/>
      <c r="D29" s="14"/>
      <c r="E29" s="13"/>
      <c r="F29" s="15"/>
      <c r="G29" s="16"/>
      <c r="H29" s="17"/>
    </row>
    <row r="30" customFormat="false" ht="15" hidden="false" customHeight="false" outlineLevel="0" collapsed="false">
      <c r="A30" s="12"/>
      <c r="B30" s="13"/>
      <c r="C30" s="13"/>
      <c r="D30" s="14"/>
      <c r="E30" s="13"/>
      <c r="F30" s="15"/>
      <c r="G30" s="16"/>
      <c r="H30" s="17"/>
    </row>
    <row r="31" customFormat="false" ht="15" hidden="false" customHeight="false" outlineLevel="0" collapsed="false">
      <c r="A31" s="12"/>
      <c r="B31" s="13"/>
      <c r="C31" s="13"/>
      <c r="D31" s="14"/>
      <c r="E31" s="13"/>
      <c r="F31" s="15"/>
      <c r="G31" s="16"/>
      <c r="H31" s="17"/>
    </row>
    <row r="32" customFormat="false" ht="15" hidden="false" customHeight="false" outlineLevel="0" collapsed="false">
      <c r="A32" s="12"/>
      <c r="B32" s="13"/>
      <c r="C32" s="13"/>
      <c r="D32" s="14"/>
      <c r="E32" s="13"/>
      <c r="F32" s="15"/>
      <c r="G32" s="16"/>
      <c r="H32" s="17"/>
    </row>
    <row r="33" customFormat="false" ht="15" hidden="false" customHeight="false" outlineLevel="0" collapsed="false">
      <c r="A33" s="12"/>
      <c r="B33" s="13"/>
      <c r="C33" s="13"/>
      <c r="D33" s="14"/>
      <c r="E33" s="13"/>
      <c r="F33" s="15"/>
      <c r="G33" s="16"/>
      <c r="H33" s="17"/>
    </row>
    <row r="34" customFormat="false" ht="15" hidden="false" customHeight="false" outlineLevel="0" collapsed="false">
      <c r="A34" s="12"/>
      <c r="B34" s="13"/>
      <c r="C34" s="13"/>
      <c r="D34" s="14"/>
      <c r="E34" s="13"/>
      <c r="F34" s="15"/>
      <c r="G34" s="16"/>
      <c r="H34" s="17"/>
    </row>
    <row r="35" customFormat="false" ht="15" hidden="false" customHeight="false" outlineLevel="0" collapsed="false">
      <c r="A35" s="12"/>
      <c r="B35" s="13"/>
      <c r="C35" s="13"/>
      <c r="D35" s="14"/>
      <c r="E35" s="13"/>
      <c r="F35" s="15"/>
      <c r="G35" s="16"/>
      <c r="H35" s="17"/>
    </row>
    <row r="36" customFormat="false" ht="15" hidden="false" customHeight="false" outlineLevel="0" collapsed="false">
      <c r="A36" s="12"/>
      <c r="B36" s="13"/>
      <c r="C36" s="13"/>
      <c r="D36" s="14"/>
      <c r="E36" s="13"/>
      <c r="F36" s="15"/>
      <c r="G36" s="16"/>
      <c r="H36" s="17"/>
    </row>
    <row r="37" customFormat="false" ht="15" hidden="false" customHeight="false" outlineLevel="0" collapsed="false">
      <c r="A37" s="12"/>
      <c r="B37" s="13"/>
      <c r="C37" s="13"/>
      <c r="D37" s="14"/>
      <c r="E37" s="13"/>
      <c r="F37" s="15"/>
      <c r="G37" s="16"/>
      <c r="H37" s="17"/>
    </row>
    <row r="38" customFormat="false" ht="15" hidden="false" customHeight="false" outlineLevel="0" collapsed="false">
      <c r="A38" s="12"/>
      <c r="B38" s="13"/>
      <c r="C38" s="13"/>
      <c r="D38" s="14"/>
      <c r="E38" s="13"/>
      <c r="F38" s="15"/>
      <c r="G38" s="16"/>
      <c r="H38" s="17"/>
    </row>
    <row r="39" customFormat="false" ht="15" hidden="false" customHeight="false" outlineLevel="0" collapsed="false">
      <c r="A39" s="12"/>
      <c r="B39" s="13"/>
      <c r="C39" s="13"/>
      <c r="D39" s="14"/>
      <c r="E39" s="13"/>
      <c r="F39" s="15"/>
      <c r="G39" s="16"/>
      <c r="H39" s="17"/>
    </row>
    <row r="40" customFormat="false" ht="15" hidden="false" customHeight="false" outlineLevel="0" collapsed="false">
      <c r="A40" s="12"/>
      <c r="B40" s="13"/>
      <c r="C40" s="13"/>
      <c r="D40" s="14"/>
      <c r="E40" s="13"/>
      <c r="F40" s="15"/>
      <c r="G40" s="16"/>
      <c r="H40" s="17"/>
    </row>
    <row r="41" customFormat="false" ht="15" hidden="false" customHeight="false" outlineLevel="0" collapsed="false">
      <c r="A41" s="12"/>
      <c r="B41" s="13"/>
      <c r="C41" s="13"/>
      <c r="D41" s="14"/>
      <c r="E41" s="13"/>
      <c r="F41" s="15"/>
      <c r="G41" s="16"/>
      <c r="H41" s="17"/>
    </row>
    <row r="42" customFormat="false" ht="15" hidden="false" customHeight="false" outlineLevel="0" collapsed="false">
      <c r="A42" s="12"/>
      <c r="B42" s="13"/>
      <c r="C42" s="13"/>
      <c r="D42" s="14"/>
      <c r="E42" s="13"/>
      <c r="F42" s="15"/>
      <c r="G42" s="16"/>
      <c r="H42" s="17"/>
    </row>
    <row r="43" customFormat="false" ht="15" hidden="false" customHeight="false" outlineLevel="0" collapsed="false">
      <c r="A43" s="12"/>
      <c r="B43" s="13"/>
      <c r="C43" s="13"/>
      <c r="D43" s="14"/>
      <c r="E43" s="13"/>
      <c r="F43" s="15"/>
      <c r="G43" s="16"/>
      <c r="H43" s="17"/>
    </row>
    <row r="44" customFormat="false" ht="15" hidden="false" customHeight="false" outlineLevel="0" collapsed="false">
      <c r="A44" s="12"/>
      <c r="B44" s="13"/>
      <c r="C44" s="13"/>
      <c r="D44" s="14"/>
      <c r="E44" s="13"/>
      <c r="F44" s="15"/>
      <c r="G44" s="16"/>
      <c r="H44" s="17"/>
    </row>
    <row r="45" customFormat="false" ht="15" hidden="false" customHeight="false" outlineLevel="0" collapsed="false">
      <c r="A45" s="12"/>
      <c r="B45" s="13"/>
      <c r="C45" s="13"/>
      <c r="D45" s="14"/>
      <c r="E45" s="13"/>
      <c r="F45" s="15"/>
      <c r="G45" s="16"/>
      <c r="H45" s="17"/>
    </row>
    <row r="46" customFormat="false" ht="15" hidden="false" customHeight="false" outlineLevel="0" collapsed="false">
      <c r="A46" s="12"/>
      <c r="B46" s="13"/>
      <c r="C46" s="13"/>
      <c r="D46" s="14"/>
      <c r="E46" s="13"/>
      <c r="F46" s="15"/>
      <c r="G46" s="16"/>
      <c r="H46" s="17"/>
    </row>
    <row r="47" customFormat="false" ht="15" hidden="false" customHeight="false" outlineLevel="0" collapsed="false">
      <c r="A47" s="12"/>
      <c r="B47" s="13"/>
      <c r="C47" s="13"/>
      <c r="D47" s="14"/>
      <c r="E47" s="13"/>
      <c r="F47" s="15"/>
      <c r="G47" s="16"/>
      <c r="H47" s="17"/>
    </row>
    <row r="48" customFormat="false" ht="15" hidden="false" customHeight="false" outlineLevel="0" collapsed="false">
      <c r="A48" s="12"/>
      <c r="B48" s="13"/>
      <c r="C48" s="13"/>
      <c r="D48" s="14"/>
      <c r="E48" s="13"/>
      <c r="F48" s="15"/>
      <c r="G48" s="16"/>
      <c r="H48" s="17"/>
    </row>
    <row r="49" customFormat="false" ht="15" hidden="false" customHeight="false" outlineLevel="0" collapsed="false">
      <c r="A49" s="12"/>
      <c r="B49" s="13"/>
      <c r="C49" s="13"/>
      <c r="D49" s="14"/>
      <c r="E49" s="13"/>
      <c r="F49" s="15"/>
      <c r="G49" s="16"/>
      <c r="H49" s="17"/>
    </row>
    <row r="50" customFormat="false" ht="15" hidden="false" customHeight="false" outlineLevel="0" collapsed="false">
      <c r="A50" s="12"/>
      <c r="B50" s="13"/>
      <c r="C50" s="13"/>
      <c r="D50" s="14"/>
      <c r="E50" s="13"/>
      <c r="F50" s="15"/>
      <c r="G50" s="16"/>
      <c r="H50" s="17"/>
    </row>
    <row r="51" customFormat="false" ht="15" hidden="false" customHeight="false" outlineLevel="0" collapsed="false">
      <c r="A51" s="12"/>
      <c r="B51" s="13"/>
      <c r="C51" s="13"/>
      <c r="D51" s="14"/>
      <c r="E51" s="13"/>
      <c r="F51" s="15"/>
      <c r="G51" s="16"/>
      <c r="H51" s="17"/>
    </row>
    <row r="52" customFormat="false" ht="15" hidden="false" customHeight="false" outlineLevel="0" collapsed="false">
      <c r="A52" s="12"/>
      <c r="B52" s="13"/>
      <c r="C52" s="13"/>
      <c r="D52" s="14"/>
      <c r="E52" s="13"/>
      <c r="F52" s="15"/>
      <c r="G52" s="16"/>
      <c r="H52" s="17"/>
    </row>
    <row r="53" customFormat="false" ht="15" hidden="false" customHeight="false" outlineLevel="0" collapsed="false">
      <c r="A53" s="12"/>
      <c r="B53" s="13"/>
      <c r="C53" s="13"/>
      <c r="D53" s="14"/>
      <c r="E53" s="13"/>
      <c r="F53" s="15"/>
      <c r="G53" s="16"/>
      <c r="H53" s="17"/>
    </row>
    <row r="54" customFormat="false" ht="15" hidden="false" customHeight="false" outlineLevel="0" collapsed="false">
      <c r="A54" s="12"/>
      <c r="B54" s="13"/>
      <c r="C54" s="13"/>
      <c r="D54" s="14"/>
      <c r="E54" s="13"/>
      <c r="F54" s="15"/>
      <c r="G54" s="16"/>
      <c r="H54" s="17"/>
    </row>
    <row r="55" customFormat="false" ht="15" hidden="false" customHeight="false" outlineLevel="0" collapsed="false">
      <c r="A55" s="12"/>
      <c r="B55" s="13"/>
      <c r="C55" s="13"/>
      <c r="D55" s="14"/>
      <c r="E55" s="13"/>
      <c r="F55" s="15"/>
      <c r="G55" s="16"/>
      <c r="H55" s="17"/>
    </row>
    <row r="56" customFormat="false" ht="15" hidden="false" customHeight="false" outlineLevel="0" collapsed="false">
      <c r="A56" s="12"/>
      <c r="B56" s="13"/>
      <c r="C56" s="13"/>
      <c r="D56" s="14"/>
      <c r="E56" s="13"/>
      <c r="F56" s="15"/>
      <c r="G56" s="16"/>
      <c r="H56" s="17"/>
    </row>
    <row r="57" customFormat="false" ht="15" hidden="false" customHeight="false" outlineLevel="0" collapsed="false">
      <c r="A57" s="12"/>
      <c r="B57" s="13"/>
      <c r="C57" s="13"/>
      <c r="D57" s="14"/>
      <c r="E57" s="13"/>
      <c r="F57" s="15"/>
      <c r="G57" s="16"/>
      <c r="H57" s="17"/>
    </row>
    <row r="58" customFormat="false" ht="15" hidden="false" customHeight="false" outlineLevel="0" collapsed="false">
      <c r="A58" s="12"/>
      <c r="B58" s="13"/>
      <c r="C58" s="13"/>
      <c r="D58" s="14"/>
      <c r="E58" s="13"/>
      <c r="F58" s="15"/>
      <c r="G58" s="16"/>
      <c r="H58" s="17"/>
    </row>
    <row r="59" customFormat="false" ht="15" hidden="false" customHeight="false" outlineLevel="0" collapsed="false">
      <c r="A59" s="12"/>
      <c r="B59" s="13"/>
      <c r="C59" s="13"/>
      <c r="D59" s="14"/>
      <c r="E59" s="13"/>
      <c r="F59" s="15"/>
      <c r="G59" s="16"/>
      <c r="H59" s="17"/>
    </row>
    <row r="60" customFormat="false" ht="15" hidden="false" customHeight="false" outlineLevel="0" collapsed="false">
      <c r="A60" s="12"/>
      <c r="B60" s="13"/>
      <c r="C60" s="13"/>
      <c r="D60" s="14"/>
      <c r="E60" s="13"/>
      <c r="F60" s="15"/>
      <c r="G60" s="16"/>
      <c r="H60" s="17"/>
    </row>
    <row r="61" customFormat="false" ht="15" hidden="false" customHeight="false" outlineLevel="0" collapsed="false">
      <c r="A61" s="12"/>
      <c r="B61" s="13"/>
      <c r="C61" s="13"/>
      <c r="D61" s="14"/>
      <c r="E61" s="13"/>
      <c r="F61" s="15"/>
      <c r="G61" s="16"/>
      <c r="H61" s="17"/>
    </row>
    <row r="62" customFormat="false" ht="15" hidden="false" customHeight="false" outlineLevel="0" collapsed="false">
      <c r="A62" s="12"/>
      <c r="B62" s="13"/>
      <c r="C62" s="13"/>
      <c r="D62" s="14"/>
      <c r="E62" s="13"/>
      <c r="F62" s="15"/>
      <c r="G62" s="16"/>
      <c r="H62" s="17"/>
    </row>
    <row r="63" customFormat="false" ht="15" hidden="false" customHeight="false" outlineLevel="0" collapsed="false">
      <c r="A63" s="12"/>
      <c r="B63" s="13"/>
      <c r="C63" s="13"/>
      <c r="D63" s="14"/>
      <c r="E63" s="13"/>
      <c r="F63" s="15"/>
      <c r="G63" s="16"/>
      <c r="H63" s="17"/>
    </row>
    <row r="64" customFormat="false" ht="15" hidden="false" customHeight="false" outlineLevel="0" collapsed="false">
      <c r="A64" s="12"/>
      <c r="B64" s="13"/>
      <c r="C64" s="13"/>
      <c r="D64" s="14"/>
      <c r="E64" s="13"/>
      <c r="F64" s="15"/>
      <c r="G64" s="16"/>
      <c r="H64" s="17"/>
    </row>
    <row r="65" customFormat="false" ht="15" hidden="false" customHeight="false" outlineLevel="0" collapsed="false">
      <c r="A65" s="12"/>
      <c r="B65" s="22"/>
      <c r="C65" s="22"/>
      <c r="D65" s="14"/>
      <c r="E65" s="22"/>
      <c r="F65" s="17"/>
      <c r="G65" s="23"/>
      <c r="H65" s="17"/>
    </row>
    <row r="66" customFormat="false" ht="15" hidden="false" customHeight="false" outlineLevel="0" collapsed="false">
      <c r="A66" s="12"/>
      <c r="B66" s="22"/>
      <c r="C66" s="22"/>
      <c r="D66" s="14"/>
      <c r="E66" s="22"/>
      <c r="F66" s="17"/>
      <c r="G66" s="23"/>
      <c r="H66" s="17"/>
    </row>
    <row r="67" customFormat="false" ht="15" hidden="false" customHeight="false" outlineLevel="0" collapsed="false">
      <c r="A67" s="12"/>
      <c r="B67" s="22"/>
      <c r="C67" s="22"/>
      <c r="D67" s="14"/>
      <c r="E67" s="22"/>
      <c r="F67" s="17"/>
      <c r="G67" s="23"/>
      <c r="H67" s="17"/>
    </row>
  </sheetData>
  <sheetProtection sheet="true" formatCells="false"/>
  <autoFilter ref="A3:H164"/>
  <mergeCells count="2">
    <mergeCell ref="A1:G1"/>
    <mergeCell ref="A21:H21"/>
  </mergeCells>
  <conditionalFormatting sqref="A4:G64">
    <cfRule type="cellIs" priority="2" operator="equal" aboveAverage="0" equalAverage="0" bottom="0" percent="0" rank="0" text="" dxfId="8">
      <formula>"A"</formula>
    </cfRule>
    <cfRule type="expression" priority="3" aboveAverage="0" equalAverage="0" bottom="0" percent="0" rank="0" text="" dxfId="8">
      <formula>$F4="A"</formula>
    </cfRule>
    <cfRule type="expression" priority="4" aboveAverage="0" equalAverage="0" bottom="0" percent="0" rank="0" text="" dxfId="9">
      <formula>$F4="B"</formula>
    </cfRule>
    <cfRule type="expression" priority="5" aboveAverage="0" equalAverage="0" bottom="0" percent="0" rank="0" text="" dxfId="10">
      <formula>$F4="C"</formula>
    </cfRule>
  </conditionalFormatting>
  <dataValidations count="3">
    <dataValidation allowBlank="true" errorStyle="stop" operator="between" showDropDown="false" showErrorMessage="false" showInputMessage="false" sqref="F4:F164" type="list">
      <formula1>"A,B,C,—"</formula1>
      <formula2>0</formula2>
    </dataValidation>
    <dataValidation allowBlank="true" errorStyle="stop" operator="between" showDropDown="false" showErrorMessage="false" showInputMessage="false" sqref="E4:E164" type="list">
      <formula1>"SDD,Accredito,Bancomat,CC moglie,Contanti,Buoni pasto,Gift card,Altro"</formula1>
      <formula2>0</formula2>
    </dataValidation>
    <dataValidation allowBlank="true" errorStyle="stop" operator="between" showDropDown="false" showErrorMessage="false" showInputMessage="false" sqref="H4:H164" type="list">
      <formula1>"Sì,No"</formula1>
      <formula2>0</formula2>
    </dataValidation>
  </dataValidations>
  <printOptions headings="false" gridLines="tru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E27" activeCellId="0" sqref="E27"/>
    </sheetView>
  </sheetViews>
  <sheetFormatPr defaultColWidth="9.7578125" defaultRowHeight="15" customHeight="true" zeroHeight="false" outlineLevelRow="0" outlineLevelCol="0"/>
  <cols>
    <col collapsed="false" customWidth="true" hidden="false" outlineLevel="0" max="1" min="1" style="0" width="13.62"/>
    <col collapsed="false" customWidth="true" hidden="false" outlineLevel="0" max="2" min="2" style="0" width="15.89"/>
    <col collapsed="false" customWidth="true" hidden="false" outlineLevel="0" max="3" min="3" style="0" width="43.14"/>
    <col collapsed="false" customWidth="true" hidden="false" outlineLevel="0" max="5" min="4" style="0" width="15.89"/>
    <col collapsed="false" customWidth="true" hidden="false" outlineLevel="0" max="6" min="6" style="0" width="9.08"/>
    <col collapsed="false" customWidth="true" hidden="false" outlineLevel="0" max="7" min="7" style="0" width="45.41"/>
    <col collapsed="false" customWidth="true" hidden="false" outlineLevel="0" max="8" min="8" style="0" width="11.35"/>
    <col collapsed="false" customWidth="true" hidden="false" outlineLevel="0" max="10" min="10" style="0" width="20.43"/>
    <col collapsed="false" customWidth="true" hidden="false" outlineLevel="0" max="11" min="11" style="0" width="18.16"/>
  </cols>
  <sheetData>
    <row r="1" customFormat="false" ht="27.75" hidden="false" customHeight="true" outlineLevel="0" collapsed="false">
      <c r="A1" s="9" t="s">
        <v>107</v>
      </c>
      <c r="B1" s="9"/>
      <c r="C1" s="9"/>
      <c r="D1" s="9"/>
      <c r="E1" s="9"/>
      <c r="F1" s="9"/>
      <c r="G1" s="9"/>
    </row>
    <row r="2" customFormat="false" ht="15" hidden="false" customHeight="false" outlineLevel="0" collapsed="false">
      <c r="F2" s="10" t="s">
        <v>63</v>
      </c>
      <c r="G2" s="4" t="n">
        <f aca="false">SUMIF($A:$A,"&lt;&gt;",$D:$D)</f>
        <v>-153.56</v>
      </c>
      <c r="J2" s="10" t="s">
        <v>64</v>
      </c>
      <c r="K2" s="4" t="n">
        <f aca="false">SUMIF($A:$A,"&lt;&gt;",$D:$D)</f>
        <v>-153.56</v>
      </c>
    </row>
    <row r="3" customFormat="false" ht="24" hidden="false" customHeight="true" outlineLevel="0" collapsed="false">
      <c r="A3" s="11" t="s">
        <v>65</v>
      </c>
      <c r="B3" s="11" t="s">
        <v>66</v>
      </c>
      <c r="C3" s="11" t="s">
        <v>67</v>
      </c>
      <c r="D3" s="11" t="s">
        <v>68</v>
      </c>
      <c r="E3" s="11" t="s">
        <v>69</v>
      </c>
      <c r="F3" s="11" t="s">
        <v>17</v>
      </c>
      <c r="G3" s="11" t="s">
        <v>70</v>
      </c>
      <c r="H3" s="11" t="s">
        <v>30</v>
      </c>
      <c r="J3" s="10" t="s">
        <v>71</v>
      </c>
      <c r="K3" s="4" t="n">
        <f aca="false">'01-Jan'!$K$3+$K$2</f>
        <v>-555.55</v>
      </c>
    </row>
    <row r="4" customFormat="false" ht="18" hidden="false" customHeight="true" outlineLevel="0" collapsed="false">
      <c r="A4" s="12" t="n">
        <v>46054</v>
      </c>
      <c r="B4" s="13" t="s">
        <v>72</v>
      </c>
      <c r="C4" s="13" t="s">
        <v>73</v>
      </c>
      <c r="D4" s="14" t="n">
        <v>-742</v>
      </c>
      <c r="E4" s="13" t="s">
        <v>74</v>
      </c>
      <c r="F4" s="15" t="s">
        <v>19</v>
      </c>
      <c r="G4" s="16" t="s">
        <v>75</v>
      </c>
      <c r="H4" s="17"/>
    </row>
    <row r="5" customFormat="false" ht="18" hidden="false" customHeight="true" outlineLevel="0" collapsed="false">
      <c r="A5" s="12" t="n">
        <v>46054</v>
      </c>
      <c r="B5" s="13" t="s">
        <v>76</v>
      </c>
      <c r="C5" s="13" t="s">
        <v>77</v>
      </c>
      <c r="D5" s="14" t="n">
        <v>-38</v>
      </c>
      <c r="E5" s="13" t="s">
        <v>74</v>
      </c>
      <c r="F5" s="15" t="s">
        <v>21</v>
      </c>
      <c r="G5" s="16" t="s">
        <v>78</v>
      </c>
      <c r="H5" s="17"/>
    </row>
    <row r="6" customFormat="false" ht="18" hidden="false" customHeight="true" outlineLevel="0" collapsed="false">
      <c r="A6" s="12" t="n">
        <v>46060</v>
      </c>
      <c r="B6" s="13" t="s">
        <v>86</v>
      </c>
      <c r="C6" s="13" t="s">
        <v>40</v>
      </c>
      <c r="D6" s="14" t="n">
        <v>-170</v>
      </c>
      <c r="E6" s="13" t="s">
        <v>84</v>
      </c>
      <c r="F6" s="15" t="s">
        <v>21</v>
      </c>
      <c r="G6" s="16"/>
      <c r="H6" s="17"/>
    </row>
    <row r="7" customFormat="false" ht="18" hidden="false" customHeight="true" outlineLevel="0" collapsed="false">
      <c r="A7" s="12" t="n">
        <v>46067</v>
      </c>
      <c r="B7" s="13" t="s">
        <v>86</v>
      </c>
      <c r="C7" s="13" t="s">
        <v>40</v>
      </c>
      <c r="D7" s="14" t="n">
        <v>-170</v>
      </c>
      <c r="E7" s="13" t="s">
        <v>84</v>
      </c>
      <c r="F7" s="15" t="s">
        <v>21</v>
      </c>
      <c r="G7" s="16"/>
      <c r="H7" s="17"/>
    </row>
    <row r="8" customFormat="false" ht="18" hidden="false" customHeight="true" outlineLevel="0" collapsed="false">
      <c r="A8" s="12" t="n">
        <v>46068</v>
      </c>
      <c r="B8" s="13" t="s">
        <v>72</v>
      </c>
      <c r="C8" s="13" t="s">
        <v>87</v>
      </c>
      <c r="D8" s="14" t="n">
        <v>-218</v>
      </c>
      <c r="E8" s="13" t="s">
        <v>74</v>
      </c>
      <c r="F8" s="15" t="s">
        <v>19</v>
      </c>
      <c r="G8" s="16" t="s">
        <v>88</v>
      </c>
      <c r="H8" s="17"/>
    </row>
    <row r="9" customFormat="false" ht="18" hidden="false" customHeight="true" outlineLevel="0" collapsed="false">
      <c r="A9" s="12" t="n">
        <v>46068</v>
      </c>
      <c r="B9" s="13" t="s">
        <v>72</v>
      </c>
      <c r="C9" s="13" t="s">
        <v>89</v>
      </c>
      <c r="D9" s="14" t="n">
        <v>-545</v>
      </c>
      <c r="E9" s="13" t="s">
        <v>74</v>
      </c>
      <c r="F9" s="15" t="s">
        <v>19</v>
      </c>
      <c r="G9" s="16" t="s">
        <v>90</v>
      </c>
      <c r="H9" s="17"/>
    </row>
    <row r="10" customFormat="false" ht="18" hidden="false" customHeight="true" outlineLevel="0" collapsed="false">
      <c r="A10" s="12" t="n">
        <v>46068</v>
      </c>
      <c r="B10" s="13" t="s">
        <v>91</v>
      </c>
      <c r="C10" s="13" t="s">
        <v>92</v>
      </c>
      <c r="D10" s="14" t="n">
        <v>-31</v>
      </c>
      <c r="E10" s="13" t="s">
        <v>74</v>
      </c>
      <c r="F10" s="15" t="s">
        <v>21</v>
      </c>
      <c r="G10" s="16" t="s">
        <v>93</v>
      </c>
      <c r="H10" s="17"/>
    </row>
    <row r="11" customFormat="false" ht="18" hidden="false" customHeight="true" outlineLevel="0" collapsed="false">
      <c r="A11" s="12" t="n">
        <v>46068</v>
      </c>
      <c r="B11" s="13" t="s">
        <v>91</v>
      </c>
      <c r="C11" s="13" t="s">
        <v>94</v>
      </c>
      <c r="D11" s="14" t="n">
        <v>-14</v>
      </c>
      <c r="E11" s="13" t="s">
        <v>74</v>
      </c>
      <c r="F11" s="15" t="s">
        <v>21</v>
      </c>
      <c r="G11" s="16" t="s">
        <v>93</v>
      </c>
      <c r="H11" s="17"/>
    </row>
    <row r="12" customFormat="false" ht="18" hidden="false" customHeight="true" outlineLevel="0" collapsed="false">
      <c r="A12" s="12" t="n">
        <v>46068</v>
      </c>
      <c r="B12" s="13" t="s">
        <v>91</v>
      </c>
      <c r="C12" s="13" t="s">
        <v>95</v>
      </c>
      <c r="D12" s="14" t="n">
        <v>-120</v>
      </c>
      <c r="E12" s="13" t="s">
        <v>74</v>
      </c>
      <c r="F12" s="15" t="s">
        <v>21</v>
      </c>
      <c r="G12" s="16" t="s">
        <v>96</v>
      </c>
      <c r="H12" s="17"/>
    </row>
    <row r="13" customFormat="false" ht="18" hidden="false" customHeight="true" outlineLevel="0" collapsed="false">
      <c r="A13" s="12" t="n">
        <v>46068</v>
      </c>
      <c r="B13" s="13" t="s">
        <v>91</v>
      </c>
      <c r="C13" s="13" t="s">
        <v>97</v>
      </c>
      <c r="D13" s="14" t="n">
        <v>-20</v>
      </c>
      <c r="E13" s="13" t="s">
        <v>74</v>
      </c>
      <c r="F13" s="15" t="s">
        <v>21</v>
      </c>
      <c r="G13" s="16" t="s">
        <v>96</v>
      </c>
      <c r="H13" s="17"/>
    </row>
    <row r="14" customFormat="false" ht="18" hidden="false" customHeight="true" outlineLevel="0" collapsed="false">
      <c r="A14" s="12" t="n">
        <v>46074</v>
      </c>
      <c r="B14" s="13" t="s">
        <v>86</v>
      </c>
      <c r="C14" s="13" t="s">
        <v>40</v>
      </c>
      <c r="D14" s="14" t="n">
        <v>-170</v>
      </c>
      <c r="E14" s="13" t="s">
        <v>84</v>
      </c>
      <c r="F14" s="15" t="s">
        <v>21</v>
      </c>
      <c r="G14" s="16"/>
      <c r="H14" s="17"/>
    </row>
    <row r="15" customFormat="false" ht="18" hidden="false" customHeight="true" outlineLevel="0" collapsed="false">
      <c r="A15" s="12" t="n">
        <v>46079</v>
      </c>
      <c r="B15" s="13" t="s">
        <v>108</v>
      </c>
      <c r="C15" s="13" t="s">
        <v>109</v>
      </c>
      <c r="D15" s="14" t="n">
        <v>-125.56</v>
      </c>
      <c r="E15" s="13" t="s">
        <v>84</v>
      </c>
      <c r="F15" s="15" t="s">
        <v>19</v>
      </c>
      <c r="G15" s="16" t="s">
        <v>110</v>
      </c>
      <c r="H15" s="17"/>
    </row>
    <row r="16" customFormat="false" ht="19.5" hidden="false" customHeight="true" outlineLevel="0" collapsed="false">
      <c r="A16" s="12" t="n">
        <v>46080</v>
      </c>
      <c r="B16" s="13" t="s">
        <v>98</v>
      </c>
      <c r="C16" s="13" t="s">
        <v>99</v>
      </c>
      <c r="D16" s="14" t="n">
        <v>2380</v>
      </c>
      <c r="E16" s="13" t="s">
        <v>100</v>
      </c>
      <c r="F16" s="15" t="s">
        <v>19</v>
      </c>
      <c r="G16" s="16"/>
      <c r="H16" s="17"/>
    </row>
    <row r="17" customFormat="false" ht="18" hidden="false" customHeight="true" outlineLevel="0" collapsed="false">
      <c r="A17" s="12" t="n">
        <v>46081</v>
      </c>
      <c r="B17" s="13" t="s">
        <v>86</v>
      </c>
      <c r="C17" s="13" t="s">
        <v>40</v>
      </c>
      <c r="D17" s="14" t="n">
        <v>-170</v>
      </c>
      <c r="E17" s="13" t="s">
        <v>101</v>
      </c>
      <c r="F17" s="15" t="s">
        <v>21</v>
      </c>
      <c r="G17" s="16"/>
      <c r="H17" s="17"/>
    </row>
    <row r="18" customFormat="false" ht="18" hidden="false" customHeight="true" outlineLevel="0" collapsed="false">
      <c r="A18" s="12"/>
      <c r="B18" s="18"/>
      <c r="C18" s="18"/>
      <c r="D18" s="18"/>
      <c r="E18" s="18"/>
      <c r="F18" s="18"/>
      <c r="G18" s="18"/>
      <c r="H18" s="17"/>
    </row>
    <row r="19" customFormat="false" ht="18" hidden="false" customHeight="true" outlineLevel="0" collapsed="false">
      <c r="A19" s="19" t="s">
        <v>102</v>
      </c>
      <c r="B19" s="19"/>
      <c r="C19" s="19"/>
      <c r="D19" s="19"/>
      <c r="E19" s="19"/>
      <c r="F19" s="19"/>
      <c r="G19" s="19"/>
      <c r="H19" s="19"/>
    </row>
    <row r="20" customFormat="false" ht="18" hidden="false" customHeight="true" outlineLevel="0" collapsed="false">
      <c r="A20" s="12" t="s">
        <v>103</v>
      </c>
      <c r="B20" s="18"/>
      <c r="C20" s="18"/>
      <c r="D20" s="18"/>
      <c r="E20" s="18"/>
      <c r="F20" s="18"/>
      <c r="G20" s="18"/>
      <c r="H20" s="17"/>
    </row>
    <row r="21" customFormat="false" ht="16.4" hidden="false" customHeight="false" outlineLevel="0" collapsed="false">
      <c r="A21" s="12" t="s">
        <v>104</v>
      </c>
      <c r="B21" s="18"/>
      <c r="C21" s="18"/>
      <c r="D21" s="18"/>
      <c r="E21" s="18"/>
      <c r="F21" s="18"/>
      <c r="G21" s="18"/>
      <c r="H21" s="17"/>
    </row>
    <row r="22" customFormat="false" ht="16.4" hidden="false" customHeight="false" outlineLevel="0" collapsed="false">
      <c r="A22" s="12" t="s">
        <v>105</v>
      </c>
      <c r="B22" s="20"/>
      <c r="C22" s="21"/>
      <c r="D22" s="20"/>
      <c r="E22" s="20"/>
      <c r="F22" s="20"/>
      <c r="G22" s="21"/>
      <c r="H22" s="17"/>
    </row>
    <row r="23" customFormat="false" ht="16.4" hidden="false" customHeight="false" outlineLevel="0" collapsed="false">
      <c r="A23" s="12" t="s">
        <v>106</v>
      </c>
      <c r="B23" s="20"/>
      <c r="C23" s="20"/>
      <c r="D23" s="20"/>
      <c r="E23" s="20"/>
      <c r="F23" s="20"/>
      <c r="G23" s="21"/>
      <c r="H23" s="17"/>
    </row>
    <row r="24" customFormat="false" ht="15" hidden="false" customHeight="false" outlineLevel="0" collapsed="false">
      <c r="A24" s="12"/>
      <c r="B24" s="20"/>
      <c r="C24" s="21"/>
      <c r="D24" s="18"/>
      <c r="E24" s="18"/>
      <c r="F24" s="18"/>
      <c r="G24" s="18"/>
      <c r="H24" s="17"/>
    </row>
    <row r="25" customFormat="false" ht="16.4" hidden="false" customHeight="false" outlineLevel="0" collapsed="false">
      <c r="A25" s="12"/>
      <c r="B25" s="13"/>
      <c r="C25" s="13"/>
      <c r="D25" s="20"/>
      <c r="E25" s="20"/>
      <c r="F25" s="20"/>
      <c r="G25" s="21"/>
      <c r="H25" s="17"/>
    </row>
    <row r="26" customFormat="false" ht="15" hidden="false" customHeight="false" outlineLevel="0" collapsed="false">
      <c r="A26" s="12"/>
      <c r="B26" s="13"/>
      <c r="C26" s="13"/>
      <c r="D26" s="20"/>
      <c r="E26" s="20"/>
      <c r="F26" s="20"/>
      <c r="G26" s="21"/>
      <c r="H26" s="17"/>
    </row>
    <row r="27" customFormat="false" ht="15" hidden="false" customHeight="false" outlineLevel="0" collapsed="false">
      <c r="A27" s="12"/>
      <c r="B27" s="13"/>
      <c r="C27" s="13"/>
      <c r="D27" s="14"/>
      <c r="E27" s="13"/>
      <c r="F27" s="15"/>
      <c r="G27" s="16"/>
      <c r="H27" s="17"/>
    </row>
    <row r="28" customFormat="false" ht="15" hidden="false" customHeight="false" outlineLevel="0" collapsed="false">
      <c r="A28" s="12"/>
      <c r="B28" s="13"/>
      <c r="C28" s="13"/>
      <c r="D28" s="14"/>
      <c r="E28" s="13"/>
      <c r="F28" s="15"/>
      <c r="G28" s="16"/>
      <c r="H28" s="17"/>
    </row>
    <row r="29" customFormat="false" ht="15" hidden="false" customHeight="false" outlineLevel="0" collapsed="false">
      <c r="A29" s="12"/>
      <c r="B29" s="13"/>
      <c r="C29" s="13"/>
      <c r="D29" s="14"/>
      <c r="E29" s="13"/>
      <c r="F29" s="15"/>
      <c r="G29" s="16"/>
      <c r="H29" s="17"/>
    </row>
    <row r="30" customFormat="false" ht="15" hidden="false" customHeight="false" outlineLevel="0" collapsed="false">
      <c r="A30" s="12"/>
      <c r="B30" s="13"/>
      <c r="C30" s="13"/>
      <c r="D30" s="14"/>
      <c r="E30" s="13"/>
      <c r="F30" s="15"/>
      <c r="G30" s="16"/>
      <c r="H30" s="17"/>
    </row>
    <row r="31" customFormat="false" ht="15" hidden="false" customHeight="false" outlineLevel="0" collapsed="false">
      <c r="A31" s="12"/>
      <c r="B31" s="13"/>
      <c r="C31" s="13"/>
      <c r="D31" s="14"/>
      <c r="E31" s="13"/>
      <c r="F31" s="15"/>
      <c r="G31" s="16"/>
      <c r="H31" s="17"/>
    </row>
    <row r="32" customFormat="false" ht="15" hidden="false" customHeight="false" outlineLevel="0" collapsed="false">
      <c r="A32" s="12"/>
      <c r="B32" s="13"/>
      <c r="C32" s="13"/>
      <c r="D32" s="14"/>
      <c r="E32" s="13"/>
      <c r="F32" s="15"/>
      <c r="G32" s="16"/>
      <c r="H32" s="17"/>
    </row>
    <row r="33" customFormat="false" ht="15" hidden="false" customHeight="false" outlineLevel="0" collapsed="false">
      <c r="A33" s="12"/>
      <c r="B33" s="13"/>
      <c r="C33" s="13"/>
      <c r="D33" s="14"/>
      <c r="E33" s="13"/>
      <c r="F33" s="15"/>
      <c r="G33" s="16"/>
      <c r="H33" s="17"/>
    </row>
    <row r="34" customFormat="false" ht="15" hidden="false" customHeight="false" outlineLevel="0" collapsed="false">
      <c r="A34" s="12"/>
      <c r="B34" s="13"/>
      <c r="C34" s="13"/>
      <c r="D34" s="14"/>
      <c r="E34" s="13"/>
      <c r="F34" s="15"/>
      <c r="G34" s="16"/>
      <c r="H34" s="17"/>
    </row>
    <row r="35" customFormat="false" ht="15" hidden="false" customHeight="false" outlineLevel="0" collapsed="false">
      <c r="A35" s="12"/>
      <c r="B35" s="13"/>
      <c r="C35" s="13"/>
      <c r="D35" s="14"/>
      <c r="E35" s="13"/>
      <c r="F35" s="15"/>
      <c r="G35" s="16"/>
      <c r="H35" s="17"/>
    </row>
    <row r="36" customFormat="false" ht="15" hidden="false" customHeight="false" outlineLevel="0" collapsed="false">
      <c r="A36" s="12"/>
      <c r="B36" s="13"/>
      <c r="C36" s="13"/>
      <c r="D36" s="14"/>
      <c r="E36" s="13"/>
      <c r="F36" s="15"/>
      <c r="G36" s="16"/>
      <c r="H36" s="17"/>
    </row>
    <row r="37" customFormat="false" ht="15" hidden="false" customHeight="false" outlineLevel="0" collapsed="false">
      <c r="A37" s="12"/>
      <c r="B37" s="13"/>
      <c r="C37" s="13"/>
      <c r="D37" s="14"/>
      <c r="E37" s="13"/>
      <c r="F37" s="15"/>
      <c r="G37" s="16"/>
      <c r="H37" s="17"/>
    </row>
    <row r="38" customFormat="false" ht="15" hidden="false" customHeight="false" outlineLevel="0" collapsed="false">
      <c r="A38" s="12"/>
      <c r="B38" s="13"/>
      <c r="C38" s="13"/>
      <c r="D38" s="14"/>
      <c r="E38" s="13"/>
      <c r="F38" s="15"/>
      <c r="G38" s="16"/>
      <c r="H38" s="17"/>
    </row>
    <row r="39" customFormat="false" ht="15" hidden="false" customHeight="false" outlineLevel="0" collapsed="false">
      <c r="A39" s="12"/>
      <c r="B39" s="13"/>
      <c r="C39" s="13"/>
      <c r="D39" s="14"/>
      <c r="E39" s="13"/>
      <c r="F39" s="15"/>
      <c r="G39" s="16"/>
      <c r="H39" s="17"/>
    </row>
    <row r="40" customFormat="false" ht="15" hidden="false" customHeight="false" outlineLevel="0" collapsed="false">
      <c r="A40" s="12"/>
      <c r="B40" s="13"/>
      <c r="C40" s="13"/>
      <c r="D40" s="14"/>
      <c r="E40" s="13"/>
      <c r="F40" s="15"/>
      <c r="G40" s="16"/>
      <c r="H40" s="17"/>
    </row>
    <row r="41" customFormat="false" ht="15" hidden="false" customHeight="false" outlineLevel="0" collapsed="false">
      <c r="A41" s="12"/>
      <c r="B41" s="13"/>
      <c r="C41" s="13"/>
      <c r="D41" s="14"/>
      <c r="E41" s="13"/>
      <c r="F41" s="15"/>
      <c r="G41" s="16"/>
      <c r="H41" s="17"/>
    </row>
    <row r="42" customFormat="false" ht="15" hidden="false" customHeight="false" outlineLevel="0" collapsed="false">
      <c r="A42" s="12"/>
      <c r="B42" s="13"/>
      <c r="C42" s="13"/>
      <c r="D42" s="14"/>
      <c r="E42" s="13"/>
      <c r="F42" s="15"/>
      <c r="G42" s="16"/>
      <c r="H42" s="17"/>
    </row>
    <row r="43" customFormat="false" ht="15" hidden="false" customHeight="false" outlineLevel="0" collapsed="false">
      <c r="A43" s="12"/>
      <c r="B43" s="13"/>
      <c r="C43" s="13"/>
      <c r="D43" s="14"/>
      <c r="E43" s="13"/>
      <c r="F43" s="15"/>
      <c r="G43" s="16"/>
      <c r="H43" s="17"/>
    </row>
    <row r="44" customFormat="false" ht="15" hidden="false" customHeight="false" outlineLevel="0" collapsed="false">
      <c r="A44" s="12"/>
      <c r="B44" s="13"/>
      <c r="C44" s="13"/>
      <c r="D44" s="14"/>
      <c r="E44" s="13"/>
      <c r="F44" s="15"/>
      <c r="G44" s="16"/>
      <c r="H44" s="17"/>
    </row>
    <row r="45" customFormat="false" ht="15" hidden="false" customHeight="false" outlineLevel="0" collapsed="false">
      <c r="A45" s="12"/>
      <c r="B45" s="13"/>
      <c r="C45" s="13"/>
      <c r="D45" s="14"/>
      <c r="E45" s="13"/>
      <c r="F45" s="15"/>
      <c r="G45" s="16"/>
      <c r="H45" s="17"/>
    </row>
    <row r="46" customFormat="false" ht="15" hidden="false" customHeight="false" outlineLevel="0" collapsed="false">
      <c r="A46" s="12"/>
      <c r="B46" s="13"/>
      <c r="C46" s="13"/>
      <c r="D46" s="14"/>
      <c r="E46" s="13"/>
      <c r="F46" s="15"/>
      <c r="G46" s="16"/>
      <c r="H46" s="17"/>
    </row>
    <row r="47" customFormat="false" ht="15" hidden="false" customHeight="false" outlineLevel="0" collapsed="false">
      <c r="A47" s="12"/>
      <c r="B47" s="13"/>
      <c r="C47" s="13"/>
      <c r="D47" s="14"/>
      <c r="E47" s="13"/>
      <c r="F47" s="15"/>
      <c r="G47" s="16"/>
      <c r="H47" s="17"/>
    </row>
    <row r="48" customFormat="false" ht="15" hidden="false" customHeight="false" outlineLevel="0" collapsed="false">
      <c r="A48" s="12"/>
      <c r="B48" s="13"/>
      <c r="C48" s="13"/>
      <c r="D48" s="14"/>
      <c r="E48" s="13"/>
      <c r="F48" s="15"/>
      <c r="G48" s="16"/>
      <c r="H48" s="17"/>
    </row>
    <row r="49" customFormat="false" ht="15" hidden="false" customHeight="false" outlineLevel="0" collapsed="false">
      <c r="A49" s="12"/>
      <c r="B49" s="13"/>
      <c r="C49" s="13"/>
      <c r="D49" s="14"/>
      <c r="E49" s="13"/>
      <c r="F49" s="15"/>
      <c r="G49" s="16"/>
      <c r="H49" s="17"/>
    </row>
    <row r="50" customFormat="false" ht="15" hidden="false" customHeight="false" outlineLevel="0" collapsed="false">
      <c r="A50" s="12"/>
      <c r="B50" s="13"/>
      <c r="C50" s="13"/>
      <c r="D50" s="14"/>
      <c r="E50" s="13"/>
      <c r="F50" s="15"/>
      <c r="G50" s="16"/>
      <c r="H50" s="17"/>
    </row>
    <row r="51" customFormat="false" ht="15" hidden="false" customHeight="false" outlineLevel="0" collapsed="false">
      <c r="A51" s="12"/>
      <c r="B51" s="13"/>
      <c r="C51" s="13"/>
      <c r="D51" s="14"/>
      <c r="E51" s="13"/>
      <c r="F51" s="15"/>
      <c r="G51" s="16"/>
      <c r="H51" s="17"/>
    </row>
    <row r="52" customFormat="false" ht="15" hidden="false" customHeight="false" outlineLevel="0" collapsed="false">
      <c r="A52" s="12"/>
      <c r="B52" s="13"/>
      <c r="C52" s="13"/>
      <c r="D52" s="14"/>
      <c r="E52" s="13"/>
      <c r="F52" s="15"/>
      <c r="G52" s="16"/>
      <c r="H52" s="17"/>
    </row>
    <row r="53" customFormat="false" ht="15" hidden="false" customHeight="false" outlineLevel="0" collapsed="false">
      <c r="A53" s="12"/>
      <c r="B53" s="13"/>
      <c r="C53" s="13"/>
      <c r="D53" s="14"/>
      <c r="E53" s="13"/>
      <c r="F53" s="15"/>
      <c r="G53" s="16"/>
      <c r="H53" s="17"/>
    </row>
    <row r="54" customFormat="false" ht="15" hidden="false" customHeight="false" outlineLevel="0" collapsed="false">
      <c r="A54" s="12"/>
      <c r="B54" s="13"/>
      <c r="C54" s="13"/>
      <c r="D54" s="14"/>
      <c r="E54" s="13"/>
      <c r="F54" s="15"/>
      <c r="G54" s="16"/>
      <c r="H54" s="17"/>
    </row>
    <row r="55" customFormat="false" ht="15" hidden="false" customHeight="false" outlineLevel="0" collapsed="false">
      <c r="A55" s="12"/>
      <c r="B55" s="13"/>
      <c r="C55" s="13"/>
      <c r="D55" s="14"/>
      <c r="E55" s="13"/>
      <c r="F55" s="15"/>
      <c r="G55" s="16"/>
      <c r="H55" s="17"/>
    </row>
    <row r="56" customFormat="false" ht="15" hidden="false" customHeight="false" outlineLevel="0" collapsed="false">
      <c r="A56" s="12"/>
      <c r="B56" s="13"/>
      <c r="C56" s="13"/>
      <c r="D56" s="14"/>
      <c r="E56" s="13"/>
      <c r="F56" s="15"/>
      <c r="G56" s="16"/>
      <c r="H56" s="17"/>
    </row>
    <row r="57" customFormat="false" ht="15" hidden="false" customHeight="false" outlineLevel="0" collapsed="false">
      <c r="A57" s="12"/>
      <c r="B57" s="13"/>
      <c r="C57" s="13"/>
      <c r="D57" s="14"/>
      <c r="E57" s="13"/>
      <c r="F57" s="15"/>
      <c r="G57" s="16"/>
      <c r="H57" s="17"/>
    </row>
    <row r="58" customFormat="false" ht="15" hidden="false" customHeight="false" outlineLevel="0" collapsed="false">
      <c r="A58" s="12"/>
      <c r="B58" s="13"/>
      <c r="C58" s="13"/>
      <c r="D58" s="14"/>
      <c r="E58" s="13"/>
      <c r="F58" s="15"/>
      <c r="G58" s="16"/>
      <c r="H58" s="17"/>
    </row>
    <row r="59" customFormat="false" ht="15" hidden="false" customHeight="false" outlineLevel="0" collapsed="false">
      <c r="A59" s="12"/>
      <c r="B59" s="13"/>
      <c r="C59" s="13"/>
      <c r="D59" s="14"/>
      <c r="E59" s="13"/>
      <c r="F59" s="15"/>
      <c r="G59" s="16"/>
      <c r="H59" s="17"/>
    </row>
    <row r="60" customFormat="false" ht="15" hidden="false" customHeight="false" outlineLevel="0" collapsed="false">
      <c r="A60" s="12"/>
      <c r="B60" s="13"/>
      <c r="C60" s="13"/>
      <c r="D60" s="14"/>
      <c r="E60" s="13"/>
      <c r="F60" s="15"/>
      <c r="G60" s="16"/>
      <c r="H60" s="17"/>
    </row>
    <row r="61" customFormat="false" ht="15" hidden="false" customHeight="false" outlineLevel="0" collapsed="false">
      <c r="A61" s="12"/>
      <c r="B61" s="13"/>
      <c r="C61" s="13"/>
      <c r="D61" s="14"/>
      <c r="E61" s="13"/>
      <c r="F61" s="15"/>
      <c r="G61" s="16"/>
      <c r="H61" s="17"/>
    </row>
    <row r="62" customFormat="false" ht="15" hidden="false" customHeight="false" outlineLevel="0" collapsed="false">
      <c r="A62" s="12"/>
      <c r="B62" s="13"/>
      <c r="C62" s="13"/>
      <c r="D62" s="14"/>
      <c r="E62" s="13"/>
      <c r="F62" s="15"/>
      <c r="G62" s="16"/>
      <c r="H62" s="17"/>
    </row>
    <row r="63" customFormat="false" ht="15" hidden="false" customHeight="false" outlineLevel="0" collapsed="false">
      <c r="A63" s="12"/>
      <c r="B63" s="13"/>
      <c r="C63" s="13"/>
      <c r="D63" s="14"/>
      <c r="E63" s="13"/>
      <c r="F63" s="15"/>
      <c r="G63" s="16"/>
      <c r="H63" s="17"/>
    </row>
    <row r="64" customFormat="false" ht="15" hidden="false" customHeight="false" outlineLevel="0" collapsed="false">
      <c r="A64" s="12"/>
      <c r="B64" s="13"/>
      <c r="C64" s="13"/>
      <c r="D64" s="14"/>
      <c r="E64" s="13"/>
      <c r="F64" s="15"/>
      <c r="G64" s="16"/>
      <c r="H64" s="17"/>
    </row>
    <row r="65" customFormat="false" ht="15" hidden="false" customHeight="false" outlineLevel="0" collapsed="false">
      <c r="A65" s="12"/>
      <c r="B65" s="22"/>
      <c r="C65" s="22"/>
      <c r="D65" s="14"/>
      <c r="E65" s="22"/>
      <c r="F65" s="17"/>
      <c r="G65" s="23"/>
      <c r="H65" s="17"/>
    </row>
    <row r="66" customFormat="false" ht="15" hidden="false" customHeight="false" outlineLevel="0" collapsed="false">
      <c r="A66" s="12"/>
      <c r="B66" s="22"/>
      <c r="C66" s="22"/>
      <c r="D66" s="14"/>
      <c r="E66" s="22"/>
      <c r="F66" s="17"/>
      <c r="G66" s="23"/>
      <c r="H66" s="17"/>
    </row>
  </sheetData>
  <sheetProtection sheet="true" formatCells="false"/>
  <autoFilter ref="A3:H164"/>
  <mergeCells count="2">
    <mergeCell ref="A1:G1"/>
    <mergeCell ref="A19:H19"/>
  </mergeCells>
  <conditionalFormatting sqref="A4:G64">
    <cfRule type="cellIs" priority="2" operator="equal" aboveAverage="0" equalAverage="0" bottom="0" percent="0" rank="0" text="" dxfId="8">
      <formula>"A"</formula>
    </cfRule>
    <cfRule type="expression" priority="3" aboveAverage="0" equalAverage="0" bottom="0" percent="0" rank="0" text="" dxfId="8">
      <formula>$F4="A"</formula>
    </cfRule>
    <cfRule type="expression" priority="4" aboveAverage="0" equalAverage="0" bottom="0" percent="0" rank="0" text="" dxfId="9">
      <formula>$F4="B"</formula>
    </cfRule>
    <cfRule type="expression" priority="5" aboveAverage="0" equalAverage="0" bottom="0" percent="0" rank="0" text="" dxfId="10">
      <formula>$F4="C"</formula>
    </cfRule>
  </conditionalFormatting>
  <dataValidations count="3">
    <dataValidation allowBlank="true" errorStyle="stop" operator="between" showDropDown="false" showErrorMessage="false" showInputMessage="false" sqref="F4:F164" type="list">
      <formula1>"A,B,C,—"</formula1>
      <formula2>0</formula2>
    </dataValidation>
    <dataValidation allowBlank="true" errorStyle="stop" operator="between" showDropDown="false" showErrorMessage="false" showInputMessage="false" sqref="E4:E164" type="list">
      <formula1>"SDD,Accredito,Bancomat,CC moglie,Contanti,Buoni pasto,Gift card,Altro"</formula1>
      <formula2>0</formula2>
    </dataValidation>
    <dataValidation allowBlank="true" errorStyle="stop" operator="between" showDropDown="false" showErrorMessage="false" showInputMessage="false" sqref="H4:H164" type="list">
      <formula1>"Sì,No"</formula1>
      <formula2>0</formula2>
    </dataValidation>
  </dataValidations>
  <printOptions headings="false" gridLines="tru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E17" activeCellId="0" sqref="E17"/>
    </sheetView>
  </sheetViews>
  <sheetFormatPr defaultColWidth="9.7578125" defaultRowHeight="15" customHeight="true" zeroHeight="false" outlineLevelRow="0" outlineLevelCol="0"/>
  <cols>
    <col collapsed="false" customWidth="true" hidden="false" outlineLevel="0" max="1" min="1" style="0" width="13.62"/>
    <col collapsed="false" customWidth="true" hidden="false" outlineLevel="0" max="2" min="2" style="0" width="15.89"/>
    <col collapsed="false" customWidth="true" hidden="false" outlineLevel="0" max="3" min="3" style="0" width="43.14"/>
    <col collapsed="false" customWidth="true" hidden="false" outlineLevel="0" max="5" min="4" style="0" width="15.89"/>
    <col collapsed="false" customWidth="true" hidden="false" outlineLevel="0" max="6" min="6" style="0" width="9.08"/>
    <col collapsed="false" customWidth="true" hidden="false" outlineLevel="0" max="7" min="7" style="0" width="45.41"/>
    <col collapsed="false" customWidth="true" hidden="false" outlineLevel="0" max="8" min="8" style="0" width="11.35"/>
    <col collapsed="false" customWidth="true" hidden="false" outlineLevel="0" max="10" min="10" style="0" width="20.43"/>
    <col collapsed="false" customWidth="true" hidden="false" outlineLevel="0" max="11" min="11" style="0" width="18.16"/>
  </cols>
  <sheetData>
    <row r="1" customFormat="false" ht="27.75" hidden="false" customHeight="true" outlineLevel="0" collapsed="false">
      <c r="A1" s="9" t="s">
        <v>111</v>
      </c>
      <c r="B1" s="9"/>
      <c r="C1" s="9"/>
      <c r="D1" s="9"/>
      <c r="E1" s="9"/>
      <c r="F1" s="9"/>
      <c r="G1" s="9"/>
    </row>
    <row r="2" customFormat="false" ht="15" hidden="false" customHeight="false" outlineLevel="0" collapsed="false">
      <c r="F2" s="10" t="s">
        <v>63</v>
      </c>
      <c r="G2" s="4" t="n">
        <f aca="false">SUMIF($A:$A,"&lt;&gt;",$D:$D)</f>
        <v>-182</v>
      </c>
      <c r="J2" s="10" t="s">
        <v>64</v>
      </c>
      <c r="K2" s="4" t="n">
        <f aca="false">SUMIF($A:$A,"&lt;&gt;",$D:$D)</f>
        <v>-182</v>
      </c>
    </row>
    <row r="3" customFormat="false" ht="24" hidden="false" customHeight="true" outlineLevel="0" collapsed="false">
      <c r="A3" s="11" t="s">
        <v>65</v>
      </c>
      <c r="B3" s="11" t="s">
        <v>66</v>
      </c>
      <c r="C3" s="11" t="s">
        <v>67</v>
      </c>
      <c r="D3" s="11" t="s">
        <v>68</v>
      </c>
      <c r="E3" s="11" t="s">
        <v>69</v>
      </c>
      <c r="F3" s="11" t="s">
        <v>17</v>
      </c>
      <c r="G3" s="11" t="s">
        <v>70</v>
      </c>
      <c r="H3" s="11" t="s">
        <v>30</v>
      </c>
      <c r="J3" s="10" t="s">
        <v>71</v>
      </c>
      <c r="K3" s="4" t="n">
        <f aca="false">'02-Feb'!$K$3+$K$2</f>
        <v>-737.55</v>
      </c>
    </row>
    <row r="4" customFormat="false" ht="18" hidden="false" customHeight="true" outlineLevel="0" collapsed="false">
      <c r="A4" s="12" t="n">
        <v>46082</v>
      </c>
      <c r="B4" s="13" t="s">
        <v>72</v>
      </c>
      <c r="C4" s="13" t="s">
        <v>73</v>
      </c>
      <c r="D4" s="14" t="n">
        <v>-742</v>
      </c>
      <c r="E4" s="13" t="s">
        <v>74</v>
      </c>
      <c r="F4" s="15" t="s">
        <v>19</v>
      </c>
      <c r="G4" s="16" t="s">
        <v>75</v>
      </c>
      <c r="H4" s="17"/>
    </row>
    <row r="5" customFormat="false" ht="18" hidden="false" customHeight="true" outlineLevel="0" collapsed="false">
      <c r="A5" s="12" t="n">
        <v>46082</v>
      </c>
      <c r="B5" s="13" t="s">
        <v>76</v>
      </c>
      <c r="C5" s="13" t="s">
        <v>77</v>
      </c>
      <c r="D5" s="14" t="n">
        <v>-38</v>
      </c>
      <c r="E5" s="13" t="s">
        <v>74</v>
      </c>
      <c r="F5" s="15" t="s">
        <v>21</v>
      </c>
      <c r="G5" s="16" t="s">
        <v>78</v>
      </c>
      <c r="H5" s="17"/>
    </row>
    <row r="6" customFormat="false" ht="18" hidden="false" customHeight="true" outlineLevel="0" collapsed="false">
      <c r="A6" s="12" t="n">
        <v>46082</v>
      </c>
      <c r="B6" s="13" t="s">
        <v>79</v>
      </c>
      <c r="C6" s="13" t="s">
        <v>80</v>
      </c>
      <c r="D6" s="14" t="n">
        <v>-154</v>
      </c>
      <c r="E6" s="13" t="s">
        <v>74</v>
      </c>
      <c r="F6" s="15" t="s">
        <v>21</v>
      </c>
      <c r="G6" s="16" t="s">
        <v>81</v>
      </c>
      <c r="H6" s="17"/>
    </row>
    <row r="7" customFormat="false" ht="18" hidden="false" customHeight="true" outlineLevel="0" collapsed="false">
      <c r="A7" s="12" t="n">
        <v>46088</v>
      </c>
      <c r="B7" s="13" t="s">
        <v>86</v>
      </c>
      <c r="C7" s="13" t="s">
        <v>40</v>
      </c>
      <c r="D7" s="14" t="n">
        <v>-170</v>
      </c>
      <c r="E7" s="13" t="s">
        <v>84</v>
      </c>
      <c r="F7" s="15" t="s">
        <v>21</v>
      </c>
      <c r="G7" s="16"/>
      <c r="H7" s="17"/>
    </row>
    <row r="8" customFormat="false" ht="18" hidden="false" customHeight="true" outlineLevel="0" collapsed="false">
      <c r="A8" s="12" t="n">
        <v>46095</v>
      </c>
      <c r="B8" s="13" t="s">
        <v>86</v>
      </c>
      <c r="C8" s="13" t="s">
        <v>40</v>
      </c>
      <c r="D8" s="14" t="n">
        <v>-170</v>
      </c>
      <c r="E8" s="13" t="s">
        <v>84</v>
      </c>
      <c r="F8" s="15" t="s">
        <v>21</v>
      </c>
      <c r="G8" s="16"/>
      <c r="H8" s="17"/>
    </row>
    <row r="9" customFormat="false" ht="18" hidden="false" customHeight="true" outlineLevel="0" collapsed="false">
      <c r="A9" s="12" t="n">
        <v>46096</v>
      </c>
      <c r="B9" s="13" t="s">
        <v>72</v>
      </c>
      <c r="C9" s="13" t="s">
        <v>87</v>
      </c>
      <c r="D9" s="14" t="n">
        <v>-218</v>
      </c>
      <c r="E9" s="13" t="s">
        <v>74</v>
      </c>
      <c r="F9" s="15" t="s">
        <v>19</v>
      </c>
      <c r="G9" s="16" t="s">
        <v>88</v>
      </c>
      <c r="H9" s="17"/>
    </row>
    <row r="10" customFormat="false" ht="18" hidden="false" customHeight="true" outlineLevel="0" collapsed="false">
      <c r="A10" s="12" t="n">
        <v>46096</v>
      </c>
      <c r="B10" s="13" t="s">
        <v>72</v>
      </c>
      <c r="C10" s="13" t="s">
        <v>89</v>
      </c>
      <c r="D10" s="14" t="n">
        <v>-545</v>
      </c>
      <c r="E10" s="13" t="s">
        <v>74</v>
      </c>
      <c r="F10" s="15" t="s">
        <v>19</v>
      </c>
      <c r="G10" s="16" t="s">
        <v>90</v>
      </c>
      <c r="H10" s="17"/>
    </row>
    <row r="11" customFormat="false" ht="18" hidden="false" customHeight="true" outlineLevel="0" collapsed="false">
      <c r="A11" s="12" t="n">
        <v>46096</v>
      </c>
      <c r="B11" s="13" t="s">
        <v>91</v>
      </c>
      <c r="C11" s="13" t="s">
        <v>92</v>
      </c>
      <c r="D11" s="14" t="n">
        <v>-31</v>
      </c>
      <c r="E11" s="13" t="s">
        <v>74</v>
      </c>
      <c r="F11" s="15" t="s">
        <v>21</v>
      </c>
      <c r="G11" s="16" t="s">
        <v>93</v>
      </c>
      <c r="H11" s="17"/>
    </row>
    <row r="12" customFormat="false" ht="18" hidden="false" customHeight="true" outlineLevel="0" collapsed="false">
      <c r="A12" s="12" t="n">
        <v>46096</v>
      </c>
      <c r="B12" s="13" t="s">
        <v>91</v>
      </c>
      <c r="C12" s="13" t="s">
        <v>94</v>
      </c>
      <c r="D12" s="14" t="n">
        <v>-14</v>
      </c>
      <c r="E12" s="13" t="s">
        <v>74</v>
      </c>
      <c r="F12" s="15" t="s">
        <v>21</v>
      </c>
      <c r="G12" s="16" t="s">
        <v>93</v>
      </c>
      <c r="H12" s="17"/>
    </row>
    <row r="13" customFormat="false" ht="18" hidden="false" customHeight="true" outlineLevel="0" collapsed="false">
      <c r="A13" s="12" t="n">
        <v>46096</v>
      </c>
      <c r="B13" s="13" t="s">
        <v>91</v>
      </c>
      <c r="C13" s="13" t="s">
        <v>95</v>
      </c>
      <c r="D13" s="14" t="n">
        <v>-120</v>
      </c>
      <c r="E13" s="13" t="s">
        <v>74</v>
      </c>
      <c r="F13" s="15" t="s">
        <v>21</v>
      </c>
      <c r="G13" s="16" t="s">
        <v>96</v>
      </c>
      <c r="H13" s="17"/>
    </row>
    <row r="14" customFormat="false" ht="18" hidden="false" customHeight="true" outlineLevel="0" collapsed="false">
      <c r="A14" s="12" t="n">
        <v>46096</v>
      </c>
      <c r="B14" s="13" t="s">
        <v>91</v>
      </c>
      <c r="C14" s="13" t="s">
        <v>97</v>
      </c>
      <c r="D14" s="14" t="n">
        <v>-20</v>
      </c>
      <c r="E14" s="13" t="s">
        <v>74</v>
      </c>
      <c r="F14" s="15" t="s">
        <v>21</v>
      </c>
      <c r="G14" s="16" t="s">
        <v>96</v>
      </c>
      <c r="H14" s="17"/>
    </row>
    <row r="15" customFormat="false" ht="19.5" hidden="false" customHeight="true" outlineLevel="0" collapsed="false">
      <c r="A15" s="12" t="n">
        <v>46102</v>
      </c>
      <c r="B15" s="13" t="s">
        <v>86</v>
      </c>
      <c r="C15" s="13" t="s">
        <v>40</v>
      </c>
      <c r="D15" s="14" t="n">
        <v>-170</v>
      </c>
      <c r="E15" s="13" t="s">
        <v>84</v>
      </c>
      <c r="F15" s="15" t="s">
        <v>21</v>
      </c>
      <c r="G15" s="16"/>
      <c r="H15" s="17"/>
    </row>
    <row r="16" customFormat="false" ht="18" hidden="false" customHeight="true" outlineLevel="0" collapsed="false">
      <c r="A16" s="12" t="n">
        <v>46108</v>
      </c>
      <c r="B16" s="13" t="s">
        <v>98</v>
      </c>
      <c r="C16" s="13" t="s">
        <v>99</v>
      </c>
      <c r="D16" s="14" t="n">
        <v>2380</v>
      </c>
      <c r="E16" s="13" t="s">
        <v>100</v>
      </c>
      <c r="F16" s="15" t="s">
        <v>19</v>
      </c>
      <c r="G16" s="16"/>
      <c r="H16" s="17"/>
    </row>
    <row r="17" customFormat="false" ht="18" hidden="false" customHeight="true" outlineLevel="0" collapsed="false">
      <c r="A17" s="12" t="n">
        <v>46109</v>
      </c>
      <c r="B17" s="13" t="s">
        <v>86</v>
      </c>
      <c r="C17" s="13" t="s">
        <v>40</v>
      </c>
      <c r="D17" s="14" t="n">
        <v>-170</v>
      </c>
      <c r="E17" s="13" t="s">
        <v>101</v>
      </c>
      <c r="F17" s="15" t="s">
        <v>21</v>
      </c>
      <c r="G17" s="16"/>
      <c r="H17" s="17"/>
    </row>
    <row r="18" customFormat="false" ht="18" hidden="false" customHeight="true" outlineLevel="0" collapsed="false">
      <c r="A18" s="12"/>
      <c r="B18" s="18"/>
      <c r="C18" s="18"/>
      <c r="D18" s="18"/>
      <c r="E18" s="18"/>
      <c r="F18" s="18"/>
      <c r="G18" s="18"/>
      <c r="H18" s="17"/>
    </row>
    <row r="19" customFormat="false" ht="18" hidden="false" customHeight="true" outlineLevel="0" collapsed="false">
      <c r="A19" s="19" t="s">
        <v>102</v>
      </c>
      <c r="B19" s="19"/>
      <c r="C19" s="19"/>
      <c r="D19" s="19"/>
      <c r="E19" s="19"/>
      <c r="F19" s="19"/>
      <c r="G19" s="19"/>
      <c r="H19" s="19"/>
    </row>
    <row r="20" customFormat="false" ht="16.4" hidden="false" customHeight="false" outlineLevel="0" collapsed="false">
      <c r="A20" s="12" t="s">
        <v>103</v>
      </c>
      <c r="B20" s="18"/>
      <c r="C20" s="18"/>
      <c r="D20" s="18"/>
      <c r="E20" s="18"/>
      <c r="F20" s="18"/>
      <c r="G20" s="18"/>
      <c r="H20" s="17"/>
    </row>
    <row r="21" customFormat="false" ht="16.4" hidden="false" customHeight="false" outlineLevel="0" collapsed="false">
      <c r="A21" s="12" t="s">
        <v>104</v>
      </c>
      <c r="B21" s="20"/>
      <c r="C21" s="21"/>
      <c r="D21" s="20"/>
      <c r="E21" s="20"/>
      <c r="F21" s="20"/>
      <c r="G21" s="21"/>
      <c r="H21" s="17"/>
    </row>
    <row r="22" customFormat="false" ht="16.4" hidden="false" customHeight="false" outlineLevel="0" collapsed="false">
      <c r="A22" s="12" t="s">
        <v>105</v>
      </c>
      <c r="B22" s="20"/>
      <c r="C22" s="20"/>
      <c r="D22" s="20"/>
      <c r="E22" s="20"/>
      <c r="F22" s="20"/>
      <c r="G22" s="21"/>
      <c r="H22" s="17"/>
    </row>
    <row r="23" customFormat="false" ht="16.4" hidden="false" customHeight="false" outlineLevel="0" collapsed="false">
      <c r="A23" s="12" t="s">
        <v>106</v>
      </c>
      <c r="B23" s="20"/>
      <c r="C23" s="21"/>
      <c r="D23" s="18"/>
      <c r="E23" s="18"/>
      <c r="F23" s="18"/>
      <c r="G23" s="18"/>
      <c r="H23" s="17"/>
    </row>
    <row r="24" customFormat="false" ht="15" hidden="false" customHeight="false" outlineLevel="0" collapsed="false">
      <c r="A24" s="12"/>
      <c r="B24" s="13"/>
      <c r="C24" s="13"/>
      <c r="D24" s="14"/>
      <c r="E24" s="13"/>
      <c r="F24" s="15"/>
      <c r="G24" s="16"/>
      <c r="H24" s="17"/>
    </row>
    <row r="25" customFormat="false" ht="16.4" hidden="false" customHeight="false" outlineLevel="0" collapsed="false">
      <c r="A25" s="12"/>
      <c r="B25" s="13"/>
      <c r="C25" s="13"/>
      <c r="D25" s="20"/>
      <c r="E25" s="20"/>
      <c r="F25" s="20"/>
      <c r="G25" s="21"/>
      <c r="H25" s="17"/>
    </row>
    <row r="26" customFormat="false" ht="15" hidden="false" customHeight="false" outlineLevel="0" collapsed="false">
      <c r="A26" s="12"/>
      <c r="B26" s="13"/>
      <c r="C26" s="13"/>
      <c r="D26" s="14"/>
      <c r="E26" s="13"/>
      <c r="F26" s="15"/>
      <c r="G26" s="16"/>
      <c r="H26" s="17"/>
    </row>
    <row r="27" customFormat="false" ht="15" hidden="false" customHeight="false" outlineLevel="0" collapsed="false">
      <c r="A27" s="12"/>
      <c r="B27" s="13"/>
      <c r="C27" s="13"/>
      <c r="D27" s="14"/>
      <c r="E27" s="13"/>
      <c r="F27" s="15"/>
      <c r="G27" s="16"/>
      <c r="H27" s="17"/>
    </row>
    <row r="28" customFormat="false" ht="15" hidden="false" customHeight="false" outlineLevel="0" collapsed="false">
      <c r="A28" s="12"/>
      <c r="B28" s="13"/>
      <c r="C28" s="13"/>
      <c r="D28" s="14"/>
      <c r="E28" s="13"/>
      <c r="F28" s="15"/>
      <c r="G28" s="16"/>
      <c r="H28" s="17"/>
    </row>
    <row r="29" customFormat="false" ht="15" hidden="false" customHeight="false" outlineLevel="0" collapsed="false">
      <c r="A29" s="12"/>
      <c r="B29" s="13"/>
      <c r="C29" s="13"/>
      <c r="D29" s="14"/>
      <c r="E29" s="13"/>
      <c r="F29" s="15"/>
      <c r="G29" s="16"/>
      <c r="H29" s="17"/>
    </row>
    <row r="30" customFormat="false" ht="15" hidden="false" customHeight="false" outlineLevel="0" collapsed="false">
      <c r="A30" s="12"/>
      <c r="B30" s="13"/>
      <c r="C30" s="13"/>
      <c r="D30" s="14"/>
      <c r="E30" s="13"/>
      <c r="F30" s="15"/>
      <c r="G30" s="16"/>
      <c r="H30" s="17"/>
    </row>
    <row r="31" customFormat="false" ht="15" hidden="false" customHeight="false" outlineLevel="0" collapsed="false">
      <c r="A31" s="12"/>
      <c r="B31" s="13"/>
      <c r="C31" s="13"/>
      <c r="D31" s="14"/>
      <c r="E31" s="13"/>
      <c r="F31" s="15"/>
      <c r="G31" s="16"/>
      <c r="H31" s="17"/>
    </row>
    <row r="32" customFormat="false" ht="15" hidden="false" customHeight="false" outlineLevel="0" collapsed="false">
      <c r="A32" s="12"/>
      <c r="B32" s="13"/>
      <c r="C32" s="13"/>
      <c r="D32" s="14"/>
      <c r="E32" s="13"/>
      <c r="F32" s="15"/>
      <c r="G32" s="16"/>
      <c r="H32" s="17"/>
    </row>
    <row r="33" customFormat="false" ht="15" hidden="false" customHeight="false" outlineLevel="0" collapsed="false">
      <c r="A33" s="12"/>
      <c r="B33" s="13"/>
      <c r="C33" s="13"/>
      <c r="D33" s="14"/>
      <c r="E33" s="13"/>
      <c r="F33" s="15"/>
      <c r="G33" s="16"/>
      <c r="H33" s="17"/>
    </row>
    <row r="34" customFormat="false" ht="15" hidden="false" customHeight="false" outlineLevel="0" collapsed="false">
      <c r="A34" s="12"/>
      <c r="B34" s="13"/>
      <c r="C34" s="13"/>
      <c r="D34" s="14"/>
      <c r="E34" s="13"/>
      <c r="F34" s="15"/>
      <c r="G34" s="16"/>
      <c r="H34" s="17"/>
    </row>
    <row r="35" customFormat="false" ht="15" hidden="false" customHeight="false" outlineLevel="0" collapsed="false">
      <c r="A35" s="12"/>
      <c r="B35" s="13"/>
      <c r="C35" s="13"/>
      <c r="D35" s="14"/>
      <c r="E35" s="13"/>
      <c r="F35" s="15"/>
      <c r="G35" s="16"/>
      <c r="H35" s="17"/>
    </row>
    <row r="36" customFormat="false" ht="15" hidden="false" customHeight="false" outlineLevel="0" collapsed="false">
      <c r="A36" s="12"/>
      <c r="B36" s="13"/>
      <c r="C36" s="13"/>
      <c r="D36" s="14"/>
      <c r="E36" s="13"/>
      <c r="F36" s="15"/>
      <c r="G36" s="16"/>
      <c r="H36" s="17"/>
    </row>
    <row r="37" customFormat="false" ht="15" hidden="false" customHeight="false" outlineLevel="0" collapsed="false">
      <c r="A37" s="12"/>
      <c r="B37" s="13"/>
      <c r="C37" s="13"/>
      <c r="D37" s="14"/>
      <c r="E37" s="13"/>
      <c r="F37" s="15"/>
      <c r="G37" s="16"/>
      <c r="H37" s="17"/>
    </row>
    <row r="38" customFormat="false" ht="15" hidden="false" customHeight="false" outlineLevel="0" collapsed="false">
      <c r="A38" s="12"/>
      <c r="B38" s="13"/>
      <c r="C38" s="13"/>
      <c r="D38" s="14"/>
      <c r="E38" s="13"/>
      <c r="F38" s="15"/>
      <c r="G38" s="16"/>
      <c r="H38" s="17"/>
    </row>
    <row r="39" customFormat="false" ht="15" hidden="false" customHeight="false" outlineLevel="0" collapsed="false">
      <c r="A39" s="12"/>
      <c r="B39" s="13"/>
      <c r="C39" s="13"/>
      <c r="D39" s="14"/>
      <c r="E39" s="13"/>
      <c r="F39" s="15"/>
      <c r="G39" s="16"/>
      <c r="H39" s="17"/>
    </row>
    <row r="40" customFormat="false" ht="15" hidden="false" customHeight="false" outlineLevel="0" collapsed="false">
      <c r="A40" s="12"/>
      <c r="B40" s="13"/>
      <c r="C40" s="13"/>
      <c r="D40" s="14"/>
      <c r="E40" s="13"/>
      <c r="F40" s="15"/>
      <c r="G40" s="16"/>
      <c r="H40" s="17"/>
    </row>
    <row r="41" customFormat="false" ht="15" hidden="false" customHeight="false" outlineLevel="0" collapsed="false">
      <c r="A41" s="12"/>
      <c r="B41" s="13"/>
      <c r="C41" s="13"/>
      <c r="D41" s="14"/>
      <c r="E41" s="13"/>
      <c r="F41" s="15"/>
      <c r="G41" s="16"/>
      <c r="H41" s="17"/>
    </row>
    <row r="42" customFormat="false" ht="15" hidden="false" customHeight="false" outlineLevel="0" collapsed="false">
      <c r="A42" s="12"/>
      <c r="B42" s="13"/>
      <c r="C42" s="13"/>
      <c r="D42" s="14"/>
      <c r="E42" s="13"/>
      <c r="F42" s="15"/>
      <c r="G42" s="16"/>
      <c r="H42" s="17"/>
    </row>
    <row r="43" customFormat="false" ht="15" hidden="false" customHeight="false" outlineLevel="0" collapsed="false">
      <c r="A43" s="12"/>
      <c r="B43" s="13"/>
      <c r="C43" s="13"/>
      <c r="D43" s="14"/>
      <c r="E43" s="13"/>
      <c r="F43" s="15"/>
      <c r="G43" s="16"/>
      <c r="H43" s="17"/>
    </row>
    <row r="44" customFormat="false" ht="15" hidden="false" customHeight="false" outlineLevel="0" collapsed="false">
      <c r="A44" s="12"/>
      <c r="B44" s="13"/>
      <c r="C44" s="13"/>
      <c r="D44" s="14"/>
      <c r="E44" s="13"/>
      <c r="F44" s="15"/>
      <c r="G44" s="16"/>
      <c r="H44" s="17"/>
    </row>
    <row r="45" customFormat="false" ht="15" hidden="false" customHeight="false" outlineLevel="0" collapsed="false">
      <c r="A45" s="12"/>
      <c r="B45" s="13"/>
      <c r="C45" s="13"/>
      <c r="D45" s="14"/>
      <c r="E45" s="13"/>
      <c r="F45" s="15"/>
      <c r="G45" s="16"/>
      <c r="H45" s="17"/>
    </row>
    <row r="46" customFormat="false" ht="15" hidden="false" customHeight="false" outlineLevel="0" collapsed="false">
      <c r="A46" s="12"/>
      <c r="B46" s="13"/>
      <c r="C46" s="13"/>
      <c r="D46" s="14"/>
      <c r="E46" s="13"/>
      <c r="F46" s="15"/>
      <c r="G46" s="16"/>
      <c r="H46" s="17"/>
    </row>
    <row r="47" customFormat="false" ht="15" hidden="false" customHeight="false" outlineLevel="0" collapsed="false">
      <c r="A47" s="12"/>
      <c r="B47" s="13"/>
      <c r="C47" s="13"/>
      <c r="D47" s="14"/>
      <c r="E47" s="13"/>
      <c r="F47" s="15"/>
      <c r="G47" s="16"/>
      <c r="H47" s="17"/>
    </row>
    <row r="48" customFormat="false" ht="15" hidden="false" customHeight="false" outlineLevel="0" collapsed="false">
      <c r="A48" s="12"/>
      <c r="B48" s="13"/>
      <c r="C48" s="13"/>
      <c r="D48" s="14"/>
      <c r="E48" s="13"/>
      <c r="F48" s="15"/>
      <c r="G48" s="16"/>
      <c r="H48" s="17"/>
    </row>
    <row r="49" customFormat="false" ht="15" hidden="false" customHeight="false" outlineLevel="0" collapsed="false">
      <c r="A49" s="12"/>
      <c r="B49" s="13"/>
      <c r="C49" s="13"/>
      <c r="D49" s="14"/>
      <c r="E49" s="13"/>
      <c r="F49" s="15"/>
      <c r="G49" s="16"/>
      <c r="H49" s="17"/>
    </row>
    <row r="50" customFormat="false" ht="15" hidden="false" customHeight="false" outlineLevel="0" collapsed="false">
      <c r="A50" s="12"/>
      <c r="B50" s="13"/>
      <c r="C50" s="13"/>
      <c r="D50" s="14"/>
      <c r="E50" s="13"/>
      <c r="F50" s="15"/>
      <c r="G50" s="16"/>
      <c r="H50" s="17"/>
    </row>
    <row r="51" customFormat="false" ht="15" hidden="false" customHeight="false" outlineLevel="0" collapsed="false">
      <c r="A51" s="12"/>
      <c r="B51" s="13"/>
      <c r="C51" s="13"/>
      <c r="D51" s="14"/>
      <c r="E51" s="13"/>
      <c r="F51" s="15"/>
      <c r="G51" s="16"/>
      <c r="H51" s="17"/>
    </row>
    <row r="52" customFormat="false" ht="15" hidden="false" customHeight="false" outlineLevel="0" collapsed="false">
      <c r="A52" s="12"/>
      <c r="B52" s="13"/>
      <c r="C52" s="13"/>
      <c r="D52" s="14"/>
      <c r="E52" s="13"/>
      <c r="F52" s="15"/>
      <c r="G52" s="16"/>
      <c r="H52" s="17"/>
    </row>
    <row r="53" customFormat="false" ht="15" hidden="false" customHeight="false" outlineLevel="0" collapsed="false">
      <c r="A53" s="12"/>
      <c r="B53" s="13"/>
      <c r="C53" s="13"/>
      <c r="D53" s="14"/>
      <c r="E53" s="13"/>
      <c r="F53" s="15"/>
      <c r="G53" s="16"/>
      <c r="H53" s="17"/>
    </row>
    <row r="54" customFormat="false" ht="15" hidden="false" customHeight="false" outlineLevel="0" collapsed="false">
      <c r="A54" s="12"/>
      <c r="B54" s="13"/>
      <c r="C54" s="13"/>
      <c r="D54" s="14"/>
      <c r="E54" s="13"/>
      <c r="F54" s="15"/>
      <c r="G54" s="16"/>
      <c r="H54" s="17"/>
    </row>
    <row r="55" customFormat="false" ht="15" hidden="false" customHeight="false" outlineLevel="0" collapsed="false">
      <c r="A55" s="12"/>
      <c r="B55" s="13"/>
      <c r="C55" s="13"/>
      <c r="D55" s="14"/>
      <c r="E55" s="13"/>
      <c r="F55" s="15"/>
      <c r="G55" s="16"/>
      <c r="H55" s="17"/>
    </row>
    <row r="56" customFormat="false" ht="15" hidden="false" customHeight="false" outlineLevel="0" collapsed="false">
      <c r="A56" s="12"/>
      <c r="B56" s="13"/>
      <c r="C56" s="13"/>
      <c r="D56" s="14"/>
      <c r="E56" s="13"/>
      <c r="F56" s="15"/>
      <c r="G56" s="16"/>
      <c r="H56" s="17"/>
    </row>
    <row r="57" customFormat="false" ht="15" hidden="false" customHeight="false" outlineLevel="0" collapsed="false">
      <c r="A57" s="12"/>
      <c r="B57" s="13"/>
      <c r="C57" s="13"/>
      <c r="D57" s="14"/>
      <c r="E57" s="13"/>
      <c r="F57" s="15"/>
      <c r="G57" s="16"/>
      <c r="H57" s="17"/>
    </row>
    <row r="58" customFormat="false" ht="15" hidden="false" customHeight="false" outlineLevel="0" collapsed="false">
      <c r="A58" s="12"/>
      <c r="B58" s="13"/>
      <c r="C58" s="13"/>
      <c r="D58" s="14"/>
      <c r="E58" s="13"/>
      <c r="F58" s="15"/>
      <c r="G58" s="16"/>
      <c r="H58" s="17"/>
    </row>
    <row r="59" customFormat="false" ht="15" hidden="false" customHeight="false" outlineLevel="0" collapsed="false">
      <c r="A59" s="12"/>
      <c r="B59" s="13"/>
      <c r="C59" s="13"/>
      <c r="D59" s="14"/>
      <c r="E59" s="13"/>
      <c r="F59" s="15"/>
      <c r="G59" s="16"/>
      <c r="H59" s="17"/>
    </row>
    <row r="60" customFormat="false" ht="15" hidden="false" customHeight="false" outlineLevel="0" collapsed="false">
      <c r="A60" s="12"/>
      <c r="B60" s="13"/>
      <c r="C60" s="13"/>
      <c r="D60" s="14"/>
      <c r="E60" s="13"/>
      <c r="F60" s="15"/>
      <c r="G60" s="16"/>
      <c r="H60" s="17"/>
    </row>
    <row r="61" customFormat="false" ht="15" hidden="false" customHeight="false" outlineLevel="0" collapsed="false">
      <c r="A61" s="12"/>
      <c r="B61" s="13"/>
      <c r="C61" s="13"/>
      <c r="D61" s="14"/>
      <c r="E61" s="13"/>
      <c r="F61" s="15"/>
      <c r="G61" s="16"/>
      <c r="H61" s="17"/>
    </row>
    <row r="62" customFormat="false" ht="15" hidden="false" customHeight="false" outlineLevel="0" collapsed="false">
      <c r="A62" s="12"/>
      <c r="B62" s="13"/>
      <c r="C62" s="13"/>
      <c r="D62" s="14"/>
      <c r="E62" s="13"/>
      <c r="F62" s="15"/>
      <c r="G62" s="16"/>
      <c r="H62" s="17"/>
    </row>
    <row r="63" customFormat="false" ht="15" hidden="false" customHeight="false" outlineLevel="0" collapsed="false">
      <c r="A63" s="12"/>
      <c r="B63" s="13"/>
      <c r="C63" s="13"/>
      <c r="D63" s="14"/>
      <c r="E63" s="13"/>
      <c r="F63" s="15"/>
      <c r="G63" s="16"/>
      <c r="H63" s="17"/>
    </row>
    <row r="64" customFormat="false" ht="15" hidden="false" customHeight="false" outlineLevel="0" collapsed="false">
      <c r="A64" s="12"/>
      <c r="B64" s="13"/>
      <c r="C64" s="13"/>
      <c r="D64" s="14"/>
      <c r="E64" s="13"/>
      <c r="F64" s="15"/>
      <c r="G64" s="16"/>
      <c r="H64" s="17"/>
    </row>
    <row r="65" customFormat="false" ht="15" hidden="false" customHeight="false" outlineLevel="0" collapsed="false">
      <c r="A65" s="12"/>
      <c r="B65" s="22"/>
      <c r="C65" s="22"/>
      <c r="D65" s="14"/>
      <c r="E65" s="22"/>
      <c r="F65" s="17"/>
      <c r="G65" s="23"/>
      <c r="H65" s="17"/>
    </row>
    <row r="66" customFormat="false" ht="15" hidden="false" customHeight="false" outlineLevel="0" collapsed="false">
      <c r="A66" s="12"/>
      <c r="B66" s="22"/>
      <c r="C66" s="22"/>
      <c r="D66" s="14"/>
      <c r="E66" s="22"/>
      <c r="F66" s="17"/>
      <c r="G66" s="23"/>
      <c r="H66" s="17"/>
    </row>
  </sheetData>
  <sheetProtection sheet="true" formatCells="false"/>
  <autoFilter ref="A3:H164"/>
  <mergeCells count="2">
    <mergeCell ref="A1:G1"/>
    <mergeCell ref="A19:H19"/>
  </mergeCells>
  <conditionalFormatting sqref="A4:G64">
    <cfRule type="cellIs" priority="2" operator="equal" aboveAverage="0" equalAverage="0" bottom="0" percent="0" rank="0" text="" dxfId="8">
      <formula>"A"</formula>
    </cfRule>
    <cfRule type="expression" priority="3" aboveAverage="0" equalAverage="0" bottom="0" percent="0" rank="0" text="" dxfId="8">
      <formula>$F4="A"</formula>
    </cfRule>
    <cfRule type="expression" priority="4" aboveAverage="0" equalAverage="0" bottom="0" percent="0" rank="0" text="" dxfId="9">
      <formula>$F4="B"</formula>
    </cfRule>
    <cfRule type="expression" priority="5" aboveAverage="0" equalAverage="0" bottom="0" percent="0" rank="0" text="" dxfId="10">
      <formula>$F4="C"</formula>
    </cfRule>
  </conditionalFormatting>
  <dataValidations count="3">
    <dataValidation allowBlank="true" errorStyle="stop" operator="between" showDropDown="false" showErrorMessage="false" showInputMessage="false" sqref="F4:F164" type="list">
      <formula1>"A,B,C,—"</formula1>
      <formula2>0</formula2>
    </dataValidation>
    <dataValidation allowBlank="true" errorStyle="stop" operator="between" showDropDown="false" showErrorMessage="false" showInputMessage="false" sqref="E4:E164" type="list">
      <formula1>"SDD,Accredito,Bancomat,CC moglie,Contanti,Buoni pasto,Gift card,Altro"</formula1>
      <formula2>0</formula2>
    </dataValidation>
    <dataValidation allowBlank="true" errorStyle="stop" operator="between" showDropDown="false" showErrorMessage="false" showInputMessage="false" sqref="H4:H164" type="list">
      <formula1>"Sì,No"</formula1>
      <formula2>0</formula2>
    </dataValidation>
  </dataValidations>
  <printOptions headings="false" gridLines="tru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E15" activeCellId="0" sqref="E15"/>
    </sheetView>
  </sheetViews>
  <sheetFormatPr defaultColWidth="9.7578125" defaultRowHeight="15" customHeight="true" zeroHeight="false" outlineLevelRow="0" outlineLevelCol="0"/>
  <cols>
    <col collapsed="false" customWidth="true" hidden="false" outlineLevel="0" max="1" min="1" style="0" width="13.62"/>
    <col collapsed="false" customWidth="true" hidden="false" outlineLevel="0" max="2" min="2" style="0" width="15.89"/>
    <col collapsed="false" customWidth="true" hidden="false" outlineLevel="0" max="3" min="3" style="0" width="43.14"/>
    <col collapsed="false" customWidth="true" hidden="false" outlineLevel="0" max="5" min="4" style="0" width="15.89"/>
    <col collapsed="false" customWidth="true" hidden="false" outlineLevel="0" max="6" min="6" style="0" width="9.08"/>
    <col collapsed="false" customWidth="true" hidden="false" outlineLevel="0" max="7" min="7" style="0" width="45.41"/>
    <col collapsed="false" customWidth="true" hidden="false" outlineLevel="0" max="8" min="8" style="0" width="11.35"/>
    <col collapsed="false" customWidth="true" hidden="false" outlineLevel="0" max="10" min="10" style="0" width="20.43"/>
    <col collapsed="false" customWidth="true" hidden="false" outlineLevel="0" max="11" min="11" style="0" width="18.16"/>
  </cols>
  <sheetData>
    <row r="1" customFormat="false" ht="27.75" hidden="false" customHeight="true" outlineLevel="0" collapsed="false">
      <c r="A1" s="9" t="s">
        <v>112</v>
      </c>
      <c r="B1" s="9"/>
      <c r="C1" s="9"/>
      <c r="D1" s="9"/>
      <c r="E1" s="9"/>
      <c r="F1" s="9"/>
      <c r="G1" s="9"/>
    </row>
    <row r="2" customFormat="false" ht="15" hidden="false" customHeight="false" outlineLevel="0" collapsed="false">
      <c r="F2" s="10" t="s">
        <v>63</v>
      </c>
      <c r="G2" s="4" t="n">
        <f aca="false">SUMIF($A:$A,"&lt;&gt;",$D:$D)</f>
        <v>-28</v>
      </c>
      <c r="J2" s="10" t="s">
        <v>64</v>
      </c>
      <c r="K2" s="4" t="n">
        <f aca="false">SUMIF($A:$A,"&lt;&gt;",$D:$D)</f>
        <v>-28</v>
      </c>
    </row>
    <row r="3" customFormat="false" ht="24" hidden="false" customHeight="true" outlineLevel="0" collapsed="false">
      <c r="A3" s="11" t="s">
        <v>65</v>
      </c>
      <c r="B3" s="11" t="s">
        <v>66</v>
      </c>
      <c r="C3" s="11" t="s">
        <v>67</v>
      </c>
      <c r="D3" s="11" t="s">
        <v>68</v>
      </c>
      <c r="E3" s="11" t="s">
        <v>69</v>
      </c>
      <c r="F3" s="11" t="s">
        <v>17</v>
      </c>
      <c r="G3" s="11" t="s">
        <v>70</v>
      </c>
      <c r="H3" s="11" t="s">
        <v>30</v>
      </c>
      <c r="J3" s="10" t="s">
        <v>71</v>
      </c>
      <c r="K3" s="4" t="n">
        <f aca="false">'03-Mar'!$K$3+$K$2</f>
        <v>-765.55</v>
      </c>
    </row>
    <row r="4" customFormat="false" ht="18" hidden="false" customHeight="true" outlineLevel="0" collapsed="false">
      <c r="A4" s="12" t="n">
        <v>46113</v>
      </c>
      <c r="B4" s="13" t="s">
        <v>72</v>
      </c>
      <c r="C4" s="13" t="s">
        <v>73</v>
      </c>
      <c r="D4" s="14" t="n">
        <v>-742</v>
      </c>
      <c r="E4" s="13" t="s">
        <v>74</v>
      </c>
      <c r="F4" s="15" t="s">
        <v>19</v>
      </c>
      <c r="G4" s="16" t="s">
        <v>75</v>
      </c>
      <c r="H4" s="17"/>
    </row>
    <row r="5" customFormat="false" ht="18" hidden="false" customHeight="true" outlineLevel="0" collapsed="false">
      <c r="A5" s="12" t="n">
        <v>46113</v>
      </c>
      <c r="B5" s="13" t="s">
        <v>76</v>
      </c>
      <c r="C5" s="13" t="s">
        <v>77</v>
      </c>
      <c r="D5" s="14" t="n">
        <v>-38</v>
      </c>
      <c r="E5" s="13" t="s">
        <v>74</v>
      </c>
      <c r="F5" s="15" t="s">
        <v>21</v>
      </c>
      <c r="G5" s="16" t="s">
        <v>78</v>
      </c>
      <c r="H5" s="17"/>
    </row>
    <row r="6" customFormat="false" ht="18" hidden="false" customHeight="true" outlineLevel="0" collapsed="false">
      <c r="A6" s="12" t="n">
        <v>46116</v>
      </c>
      <c r="B6" s="13" t="s">
        <v>86</v>
      </c>
      <c r="C6" s="13" t="s">
        <v>40</v>
      </c>
      <c r="D6" s="14" t="n">
        <v>-170</v>
      </c>
      <c r="E6" s="13" t="s">
        <v>84</v>
      </c>
      <c r="F6" s="15" t="s">
        <v>21</v>
      </c>
      <c r="G6" s="16"/>
      <c r="H6" s="17"/>
    </row>
    <row r="7" customFormat="false" ht="18" hidden="false" customHeight="true" outlineLevel="0" collapsed="false">
      <c r="A7" s="12" t="n">
        <v>46123</v>
      </c>
      <c r="B7" s="13" t="s">
        <v>86</v>
      </c>
      <c r="C7" s="13" t="s">
        <v>40</v>
      </c>
      <c r="D7" s="14" t="n">
        <v>-170</v>
      </c>
      <c r="E7" s="13" t="s">
        <v>84</v>
      </c>
      <c r="F7" s="15" t="s">
        <v>21</v>
      </c>
      <c r="G7" s="16"/>
      <c r="H7" s="17"/>
    </row>
    <row r="8" customFormat="false" ht="18" hidden="false" customHeight="true" outlineLevel="0" collapsed="false">
      <c r="A8" s="12" t="n">
        <v>46127</v>
      </c>
      <c r="B8" s="13" t="s">
        <v>72</v>
      </c>
      <c r="C8" s="13" t="s">
        <v>87</v>
      </c>
      <c r="D8" s="14" t="n">
        <v>-218</v>
      </c>
      <c r="E8" s="13" t="s">
        <v>74</v>
      </c>
      <c r="F8" s="15" t="s">
        <v>19</v>
      </c>
      <c r="G8" s="16" t="s">
        <v>88</v>
      </c>
      <c r="H8" s="17"/>
    </row>
    <row r="9" customFormat="false" ht="18" hidden="false" customHeight="true" outlineLevel="0" collapsed="false">
      <c r="A9" s="12" t="n">
        <v>46127</v>
      </c>
      <c r="B9" s="13" t="s">
        <v>72</v>
      </c>
      <c r="C9" s="13" t="s">
        <v>89</v>
      </c>
      <c r="D9" s="14" t="n">
        <v>-545</v>
      </c>
      <c r="E9" s="13" t="s">
        <v>74</v>
      </c>
      <c r="F9" s="15" t="s">
        <v>19</v>
      </c>
      <c r="G9" s="16" t="s">
        <v>90</v>
      </c>
      <c r="H9" s="17"/>
    </row>
    <row r="10" customFormat="false" ht="18" hidden="false" customHeight="true" outlineLevel="0" collapsed="false">
      <c r="A10" s="12" t="n">
        <v>46127</v>
      </c>
      <c r="B10" s="13" t="s">
        <v>91</v>
      </c>
      <c r="C10" s="13" t="s">
        <v>92</v>
      </c>
      <c r="D10" s="14" t="n">
        <v>-31</v>
      </c>
      <c r="E10" s="13" t="s">
        <v>74</v>
      </c>
      <c r="F10" s="15" t="s">
        <v>21</v>
      </c>
      <c r="G10" s="16" t="s">
        <v>93</v>
      </c>
      <c r="H10" s="17"/>
    </row>
    <row r="11" customFormat="false" ht="18" hidden="false" customHeight="true" outlineLevel="0" collapsed="false">
      <c r="A11" s="12" t="n">
        <v>46127</v>
      </c>
      <c r="B11" s="13" t="s">
        <v>91</v>
      </c>
      <c r="C11" s="13" t="s">
        <v>94</v>
      </c>
      <c r="D11" s="14" t="n">
        <v>-14</v>
      </c>
      <c r="E11" s="13" t="s">
        <v>74</v>
      </c>
      <c r="F11" s="15" t="s">
        <v>21</v>
      </c>
      <c r="G11" s="16" t="s">
        <v>93</v>
      </c>
      <c r="H11" s="17"/>
    </row>
    <row r="12" customFormat="false" ht="18" hidden="false" customHeight="true" outlineLevel="0" collapsed="false">
      <c r="A12" s="12" t="n">
        <v>46127</v>
      </c>
      <c r="B12" s="13" t="s">
        <v>91</v>
      </c>
      <c r="C12" s="13" t="s">
        <v>95</v>
      </c>
      <c r="D12" s="14" t="n">
        <v>-120</v>
      </c>
      <c r="E12" s="13" t="s">
        <v>74</v>
      </c>
      <c r="F12" s="15" t="s">
        <v>21</v>
      </c>
      <c r="G12" s="16" t="s">
        <v>96</v>
      </c>
      <c r="H12" s="17"/>
    </row>
    <row r="13" customFormat="false" ht="18" hidden="false" customHeight="true" outlineLevel="0" collapsed="false">
      <c r="A13" s="12" t="n">
        <v>46127</v>
      </c>
      <c r="B13" s="13" t="s">
        <v>91</v>
      </c>
      <c r="C13" s="13" t="s">
        <v>97</v>
      </c>
      <c r="D13" s="14" t="n">
        <v>-20</v>
      </c>
      <c r="E13" s="13" t="s">
        <v>74</v>
      </c>
      <c r="F13" s="15" t="s">
        <v>21</v>
      </c>
      <c r="G13" s="16" t="s">
        <v>96</v>
      </c>
      <c r="H13" s="17"/>
    </row>
    <row r="14" customFormat="false" ht="18" hidden="false" customHeight="true" outlineLevel="0" collapsed="false">
      <c r="A14" s="12" t="n">
        <v>46130</v>
      </c>
      <c r="B14" s="13" t="s">
        <v>86</v>
      </c>
      <c r="C14" s="13" t="s">
        <v>40</v>
      </c>
      <c r="D14" s="14" t="n">
        <v>-170</v>
      </c>
      <c r="E14" s="13" t="s">
        <v>84</v>
      </c>
      <c r="F14" s="15" t="s">
        <v>21</v>
      </c>
      <c r="G14" s="16"/>
      <c r="H14" s="17"/>
    </row>
    <row r="15" customFormat="false" ht="19.5" hidden="false" customHeight="true" outlineLevel="0" collapsed="false">
      <c r="A15" s="12" t="n">
        <v>46137</v>
      </c>
      <c r="B15" s="13" t="s">
        <v>86</v>
      </c>
      <c r="C15" s="13" t="s">
        <v>40</v>
      </c>
      <c r="D15" s="14" t="n">
        <v>-170</v>
      </c>
      <c r="E15" s="13" t="s">
        <v>84</v>
      </c>
      <c r="F15" s="15" t="s">
        <v>21</v>
      </c>
      <c r="G15" s="16"/>
      <c r="H15" s="17"/>
    </row>
    <row r="16" customFormat="false" ht="18" hidden="false" customHeight="true" outlineLevel="0" collapsed="false">
      <c r="A16" s="12" t="n">
        <v>46139</v>
      </c>
      <c r="B16" s="13" t="s">
        <v>98</v>
      </c>
      <c r="C16" s="13" t="s">
        <v>99</v>
      </c>
      <c r="D16" s="14" t="n">
        <v>2380</v>
      </c>
      <c r="E16" s="13" t="s">
        <v>100</v>
      </c>
      <c r="F16" s="15" t="s">
        <v>19</v>
      </c>
      <c r="G16" s="16"/>
      <c r="H16" s="17"/>
    </row>
    <row r="17" customFormat="false" ht="18" hidden="false" customHeight="true" outlineLevel="0" collapsed="false">
      <c r="A17" s="12"/>
      <c r="B17" s="18"/>
      <c r="C17" s="18"/>
      <c r="D17" s="18"/>
      <c r="E17" s="18"/>
      <c r="F17" s="18"/>
      <c r="G17" s="18"/>
      <c r="H17" s="17"/>
    </row>
    <row r="18" customFormat="false" ht="18" hidden="false" customHeight="true" outlineLevel="0" collapsed="false">
      <c r="A18" s="19" t="s">
        <v>102</v>
      </c>
      <c r="B18" s="19"/>
      <c r="C18" s="19"/>
      <c r="D18" s="19"/>
      <c r="E18" s="19"/>
      <c r="F18" s="19"/>
      <c r="G18" s="19"/>
      <c r="H18" s="19"/>
    </row>
    <row r="19" customFormat="false" ht="18" hidden="false" customHeight="true" outlineLevel="0" collapsed="false">
      <c r="A19" s="12" t="s">
        <v>103</v>
      </c>
      <c r="B19" s="18"/>
      <c r="C19" s="18"/>
      <c r="D19" s="18"/>
      <c r="E19" s="18"/>
      <c r="F19" s="18"/>
      <c r="G19" s="18"/>
      <c r="H19" s="17"/>
    </row>
    <row r="20" customFormat="false" ht="16.4" hidden="false" customHeight="false" outlineLevel="0" collapsed="false">
      <c r="A20" s="12" t="s">
        <v>104</v>
      </c>
      <c r="B20" s="18"/>
      <c r="C20" s="18"/>
      <c r="D20" s="18"/>
      <c r="E20" s="18"/>
      <c r="F20" s="18"/>
      <c r="G20" s="18"/>
      <c r="H20" s="17"/>
    </row>
    <row r="21" customFormat="false" ht="16.4" hidden="false" customHeight="false" outlineLevel="0" collapsed="false">
      <c r="A21" s="12" t="s">
        <v>105</v>
      </c>
      <c r="B21" s="20"/>
      <c r="C21" s="21"/>
      <c r="D21" s="20"/>
      <c r="E21" s="20"/>
      <c r="F21" s="20"/>
      <c r="G21" s="21"/>
      <c r="H21" s="17"/>
    </row>
    <row r="22" customFormat="false" ht="16.4" hidden="false" customHeight="false" outlineLevel="0" collapsed="false">
      <c r="A22" s="12" t="s">
        <v>106</v>
      </c>
      <c r="B22" s="20"/>
      <c r="C22" s="20"/>
      <c r="D22" s="20"/>
      <c r="E22" s="20"/>
      <c r="F22" s="20"/>
      <c r="G22" s="21"/>
      <c r="H22" s="17"/>
    </row>
    <row r="23" customFormat="false" ht="15" hidden="false" customHeight="false" outlineLevel="0" collapsed="false">
      <c r="A23" s="12"/>
      <c r="B23" s="20"/>
      <c r="C23" s="21"/>
      <c r="D23" s="18"/>
      <c r="E23" s="18"/>
      <c r="F23" s="18"/>
      <c r="G23" s="18"/>
      <c r="H23" s="17"/>
    </row>
    <row r="24" customFormat="false" ht="16.4" hidden="false" customHeight="false" outlineLevel="0" collapsed="false">
      <c r="A24" s="12"/>
      <c r="B24" s="13"/>
      <c r="C24" s="13"/>
      <c r="D24" s="20"/>
      <c r="E24" s="20"/>
      <c r="F24" s="20"/>
      <c r="G24" s="21"/>
      <c r="H24" s="17"/>
    </row>
    <row r="25" customFormat="false" ht="15" hidden="false" customHeight="false" outlineLevel="0" collapsed="false">
      <c r="A25" s="12"/>
      <c r="B25" s="13"/>
      <c r="C25" s="13"/>
      <c r="D25" s="20"/>
      <c r="E25" s="20"/>
      <c r="F25" s="20"/>
      <c r="G25" s="21"/>
      <c r="H25" s="17"/>
    </row>
    <row r="26" customFormat="false" ht="15" hidden="false" customHeight="false" outlineLevel="0" collapsed="false">
      <c r="A26" s="12"/>
      <c r="B26" s="13"/>
      <c r="C26" s="13"/>
      <c r="D26" s="14"/>
      <c r="E26" s="13"/>
      <c r="F26" s="15"/>
      <c r="G26" s="16"/>
      <c r="H26" s="17"/>
    </row>
    <row r="27" customFormat="false" ht="15" hidden="false" customHeight="false" outlineLevel="0" collapsed="false">
      <c r="A27" s="12"/>
      <c r="B27" s="13"/>
      <c r="C27" s="13"/>
      <c r="D27" s="14"/>
      <c r="E27" s="13"/>
      <c r="F27" s="15"/>
      <c r="G27" s="16"/>
      <c r="H27" s="17"/>
    </row>
    <row r="28" customFormat="false" ht="15" hidden="false" customHeight="false" outlineLevel="0" collapsed="false">
      <c r="A28" s="12"/>
      <c r="B28" s="13"/>
      <c r="C28" s="13"/>
      <c r="D28" s="14"/>
      <c r="E28" s="13"/>
      <c r="F28" s="15"/>
      <c r="G28" s="16"/>
      <c r="H28" s="17"/>
    </row>
    <row r="29" customFormat="false" ht="15" hidden="false" customHeight="false" outlineLevel="0" collapsed="false">
      <c r="A29" s="12"/>
      <c r="B29" s="13"/>
      <c r="C29" s="13"/>
      <c r="D29" s="14"/>
      <c r="E29" s="13"/>
      <c r="F29" s="15"/>
      <c r="G29" s="16"/>
      <c r="H29" s="17"/>
    </row>
    <row r="30" customFormat="false" ht="15" hidden="false" customHeight="false" outlineLevel="0" collapsed="false">
      <c r="A30" s="12"/>
      <c r="B30" s="13"/>
      <c r="C30" s="13"/>
      <c r="D30" s="14"/>
      <c r="E30" s="13"/>
      <c r="F30" s="15"/>
      <c r="G30" s="16"/>
      <c r="H30" s="17"/>
    </row>
    <row r="31" customFormat="false" ht="15" hidden="false" customHeight="false" outlineLevel="0" collapsed="false">
      <c r="A31" s="12"/>
      <c r="B31" s="13"/>
      <c r="C31" s="13"/>
      <c r="D31" s="14"/>
      <c r="E31" s="13"/>
      <c r="F31" s="15"/>
      <c r="G31" s="16"/>
      <c r="H31" s="17"/>
    </row>
    <row r="32" customFormat="false" ht="15" hidden="false" customHeight="false" outlineLevel="0" collapsed="false">
      <c r="A32" s="12"/>
      <c r="B32" s="13"/>
      <c r="C32" s="13"/>
      <c r="D32" s="14"/>
      <c r="E32" s="13"/>
      <c r="F32" s="15"/>
      <c r="G32" s="16"/>
      <c r="H32" s="17"/>
    </row>
    <row r="33" customFormat="false" ht="15" hidden="false" customHeight="false" outlineLevel="0" collapsed="false">
      <c r="A33" s="12"/>
      <c r="B33" s="13"/>
      <c r="C33" s="13"/>
      <c r="D33" s="14"/>
      <c r="E33" s="13"/>
      <c r="F33" s="15"/>
      <c r="G33" s="16"/>
      <c r="H33" s="17"/>
    </row>
    <row r="34" customFormat="false" ht="15" hidden="false" customHeight="false" outlineLevel="0" collapsed="false">
      <c r="A34" s="12"/>
      <c r="B34" s="13"/>
      <c r="C34" s="13"/>
      <c r="D34" s="14"/>
      <c r="E34" s="13"/>
      <c r="F34" s="15"/>
      <c r="G34" s="16"/>
      <c r="H34" s="17"/>
    </row>
    <row r="35" customFormat="false" ht="15" hidden="false" customHeight="false" outlineLevel="0" collapsed="false">
      <c r="A35" s="12"/>
      <c r="B35" s="13"/>
      <c r="C35" s="13"/>
      <c r="D35" s="14"/>
      <c r="E35" s="13"/>
      <c r="F35" s="15"/>
      <c r="G35" s="16"/>
      <c r="H35" s="17"/>
    </row>
    <row r="36" customFormat="false" ht="15" hidden="false" customHeight="false" outlineLevel="0" collapsed="false">
      <c r="A36" s="12"/>
      <c r="B36" s="13"/>
      <c r="C36" s="13"/>
      <c r="D36" s="14"/>
      <c r="E36" s="13"/>
      <c r="F36" s="15"/>
      <c r="G36" s="16"/>
      <c r="H36" s="17"/>
    </row>
    <row r="37" customFormat="false" ht="15" hidden="false" customHeight="false" outlineLevel="0" collapsed="false">
      <c r="A37" s="12"/>
      <c r="B37" s="13"/>
      <c r="C37" s="13"/>
      <c r="D37" s="14"/>
      <c r="E37" s="13"/>
      <c r="F37" s="15"/>
      <c r="G37" s="16"/>
      <c r="H37" s="17"/>
    </row>
    <row r="38" customFormat="false" ht="15" hidden="false" customHeight="false" outlineLevel="0" collapsed="false">
      <c r="A38" s="12"/>
      <c r="B38" s="13"/>
      <c r="C38" s="13"/>
      <c r="D38" s="14"/>
      <c r="E38" s="13"/>
      <c r="F38" s="15"/>
      <c r="G38" s="16"/>
      <c r="H38" s="17"/>
    </row>
    <row r="39" customFormat="false" ht="15" hidden="false" customHeight="false" outlineLevel="0" collapsed="false">
      <c r="A39" s="12"/>
      <c r="B39" s="13"/>
      <c r="C39" s="13"/>
      <c r="D39" s="14"/>
      <c r="E39" s="13"/>
      <c r="F39" s="15"/>
      <c r="G39" s="16"/>
      <c r="H39" s="17"/>
    </row>
    <row r="40" customFormat="false" ht="15" hidden="false" customHeight="false" outlineLevel="0" collapsed="false">
      <c r="A40" s="12"/>
      <c r="B40" s="13"/>
      <c r="C40" s="13"/>
      <c r="D40" s="14"/>
      <c r="E40" s="13"/>
      <c r="F40" s="15"/>
      <c r="G40" s="16"/>
      <c r="H40" s="17"/>
    </row>
    <row r="41" customFormat="false" ht="15" hidden="false" customHeight="false" outlineLevel="0" collapsed="false">
      <c r="A41" s="12"/>
      <c r="B41" s="13"/>
      <c r="C41" s="13"/>
      <c r="D41" s="14"/>
      <c r="E41" s="13"/>
      <c r="F41" s="15"/>
      <c r="G41" s="16"/>
      <c r="H41" s="17"/>
    </row>
    <row r="42" customFormat="false" ht="15" hidden="false" customHeight="false" outlineLevel="0" collapsed="false">
      <c r="A42" s="12"/>
      <c r="B42" s="13"/>
      <c r="C42" s="13"/>
      <c r="D42" s="14"/>
      <c r="E42" s="13"/>
      <c r="F42" s="15"/>
      <c r="G42" s="16"/>
      <c r="H42" s="17"/>
    </row>
    <row r="43" customFormat="false" ht="15" hidden="false" customHeight="false" outlineLevel="0" collapsed="false">
      <c r="A43" s="12"/>
      <c r="B43" s="13"/>
      <c r="C43" s="13"/>
      <c r="D43" s="14"/>
      <c r="E43" s="13"/>
      <c r="F43" s="15"/>
      <c r="G43" s="16"/>
      <c r="H43" s="17"/>
    </row>
    <row r="44" customFormat="false" ht="15" hidden="false" customHeight="false" outlineLevel="0" collapsed="false">
      <c r="A44" s="12"/>
      <c r="B44" s="13"/>
      <c r="C44" s="13"/>
      <c r="D44" s="14"/>
      <c r="E44" s="13"/>
      <c r="F44" s="15"/>
      <c r="G44" s="16"/>
      <c r="H44" s="17"/>
    </row>
    <row r="45" customFormat="false" ht="15" hidden="false" customHeight="false" outlineLevel="0" collapsed="false">
      <c r="A45" s="12"/>
      <c r="B45" s="13"/>
      <c r="C45" s="13"/>
      <c r="D45" s="14"/>
      <c r="E45" s="13"/>
      <c r="F45" s="15"/>
      <c r="G45" s="16"/>
      <c r="H45" s="17"/>
    </row>
    <row r="46" customFormat="false" ht="15" hidden="false" customHeight="false" outlineLevel="0" collapsed="false">
      <c r="A46" s="12"/>
      <c r="B46" s="13"/>
      <c r="C46" s="13"/>
      <c r="D46" s="14"/>
      <c r="E46" s="13"/>
      <c r="F46" s="15"/>
      <c r="G46" s="16"/>
      <c r="H46" s="17"/>
    </row>
    <row r="47" customFormat="false" ht="15" hidden="false" customHeight="false" outlineLevel="0" collapsed="false">
      <c r="A47" s="12"/>
      <c r="B47" s="13"/>
      <c r="C47" s="13"/>
      <c r="D47" s="14"/>
      <c r="E47" s="13"/>
      <c r="F47" s="15"/>
      <c r="G47" s="16"/>
      <c r="H47" s="17"/>
    </row>
    <row r="48" customFormat="false" ht="15" hidden="false" customHeight="false" outlineLevel="0" collapsed="false">
      <c r="A48" s="12"/>
      <c r="B48" s="13"/>
      <c r="C48" s="13"/>
      <c r="D48" s="14"/>
      <c r="E48" s="13"/>
      <c r="F48" s="15"/>
      <c r="G48" s="16"/>
      <c r="H48" s="17"/>
    </row>
    <row r="49" customFormat="false" ht="15" hidden="false" customHeight="false" outlineLevel="0" collapsed="false">
      <c r="A49" s="12"/>
      <c r="B49" s="13"/>
      <c r="C49" s="13"/>
      <c r="D49" s="14"/>
      <c r="E49" s="13"/>
      <c r="F49" s="15"/>
      <c r="G49" s="16"/>
      <c r="H49" s="17"/>
    </row>
    <row r="50" customFormat="false" ht="15" hidden="false" customHeight="false" outlineLevel="0" collapsed="false">
      <c r="A50" s="12"/>
      <c r="B50" s="13"/>
      <c r="C50" s="13"/>
      <c r="D50" s="14"/>
      <c r="E50" s="13"/>
      <c r="F50" s="15"/>
      <c r="G50" s="16"/>
      <c r="H50" s="17"/>
    </row>
    <row r="51" customFormat="false" ht="15" hidden="false" customHeight="false" outlineLevel="0" collapsed="false">
      <c r="A51" s="12"/>
      <c r="B51" s="13"/>
      <c r="C51" s="13"/>
      <c r="D51" s="14"/>
      <c r="E51" s="13"/>
      <c r="F51" s="15"/>
      <c r="G51" s="16"/>
      <c r="H51" s="17"/>
    </row>
    <row r="52" customFormat="false" ht="15" hidden="false" customHeight="false" outlineLevel="0" collapsed="false">
      <c r="A52" s="12"/>
      <c r="B52" s="13"/>
      <c r="C52" s="13"/>
      <c r="D52" s="14"/>
      <c r="E52" s="13"/>
      <c r="F52" s="15"/>
      <c r="G52" s="16"/>
      <c r="H52" s="17"/>
    </row>
    <row r="53" customFormat="false" ht="15" hidden="false" customHeight="false" outlineLevel="0" collapsed="false">
      <c r="A53" s="12"/>
      <c r="B53" s="13"/>
      <c r="C53" s="13"/>
      <c r="D53" s="14"/>
      <c r="E53" s="13"/>
      <c r="F53" s="15"/>
      <c r="G53" s="16"/>
      <c r="H53" s="17"/>
    </row>
    <row r="54" customFormat="false" ht="15" hidden="false" customHeight="false" outlineLevel="0" collapsed="false">
      <c r="A54" s="12"/>
      <c r="B54" s="13"/>
      <c r="C54" s="13"/>
      <c r="D54" s="14"/>
      <c r="E54" s="13"/>
      <c r="F54" s="15"/>
      <c r="G54" s="16"/>
      <c r="H54" s="17"/>
    </row>
    <row r="55" customFormat="false" ht="15" hidden="false" customHeight="false" outlineLevel="0" collapsed="false">
      <c r="A55" s="12"/>
      <c r="B55" s="13"/>
      <c r="C55" s="13"/>
      <c r="D55" s="14"/>
      <c r="E55" s="13"/>
      <c r="F55" s="15"/>
      <c r="G55" s="16"/>
      <c r="H55" s="17"/>
    </row>
    <row r="56" customFormat="false" ht="15" hidden="false" customHeight="false" outlineLevel="0" collapsed="false">
      <c r="A56" s="12"/>
      <c r="B56" s="13"/>
      <c r="C56" s="13"/>
      <c r="D56" s="14"/>
      <c r="E56" s="13"/>
      <c r="F56" s="15"/>
      <c r="G56" s="16"/>
      <c r="H56" s="17"/>
    </row>
    <row r="57" customFormat="false" ht="15" hidden="false" customHeight="false" outlineLevel="0" collapsed="false">
      <c r="A57" s="12"/>
      <c r="B57" s="13"/>
      <c r="C57" s="13"/>
      <c r="D57" s="14"/>
      <c r="E57" s="13"/>
      <c r="F57" s="15"/>
      <c r="G57" s="16"/>
      <c r="H57" s="17"/>
    </row>
    <row r="58" customFormat="false" ht="15" hidden="false" customHeight="false" outlineLevel="0" collapsed="false">
      <c r="A58" s="12"/>
      <c r="B58" s="13"/>
      <c r="C58" s="13"/>
      <c r="D58" s="14"/>
      <c r="E58" s="13"/>
      <c r="F58" s="15"/>
      <c r="G58" s="16"/>
      <c r="H58" s="17"/>
    </row>
    <row r="59" customFormat="false" ht="15" hidden="false" customHeight="false" outlineLevel="0" collapsed="false">
      <c r="A59" s="12"/>
      <c r="B59" s="13"/>
      <c r="C59" s="13"/>
      <c r="D59" s="14"/>
      <c r="E59" s="13"/>
      <c r="F59" s="15"/>
      <c r="G59" s="16"/>
      <c r="H59" s="17"/>
    </row>
    <row r="60" customFormat="false" ht="15" hidden="false" customHeight="false" outlineLevel="0" collapsed="false">
      <c r="A60" s="12"/>
      <c r="B60" s="13"/>
      <c r="C60" s="13"/>
      <c r="D60" s="14"/>
      <c r="E60" s="13"/>
      <c r="F60" s="15"/>
      <c r="G60" s="16"/>
      <c r="H60" s="17"/>
    </row>
    <row r="61" customFormat="false" ht="15" hidden="false" customHeight="false" outlineLevel="0" collapsed="false">
      <c r="A61" s="12"/>
      <c r="B61" s="13"/>
      <c r="C61" s="13"/>
      <c r="D61" s="14"/>
      <c r="E61" s="13"/>
      <c r="F61" s="15"/>
      <c r="G61" s="16"/>
      <c r="H61" s="17"/>
    </row>
    <row r="62" customFormat="false" ht="15" hidden="false" customHeight="false" outlineLevel="0" collapsed="false">
      <c r="A62" s="12"/>
      <c r="B62" s="13"/>
      <c r="C62" s="13"/>
      <c r="D62" s="14"/>
      <c r="E62" s="13"/>
      <c r="F62" s="15"/>
      <c r="G62" s="16"/>
      <c r="H62" s="17"/>
    </row>
    <row r="63" customFormat="false" ht="15" hidden="false" customHeight="false" outlineLevel="0" collapsed="false">
      <c r="A63" s="12"/>
      <c r="B63" s="13"/>
      <c r="C63" s="13"/>
      <c r="D63" s="14"/>
      <c r="E63" s="13"/>
      <c r="F63" s="15"/>
      <c r="G63" s="16"/>
      <c r="H63" s="17"/>
    </row>
    <row r="64" customFormat="false" ht="15" hidden="false" customHeight="false" outlineLevel="0" collapsed="false">
      <c r="A64" s="12"/>
      <c r="B64" s="13"/>
      <c r="C64" s="13"/>
      <c r="D64" s="14"/>
      <c r="E64" s="13"/>
      <c r="F64" s="15"/>
      <c r="G64" s="16"/>
      <c r="H64" s="17"/>
    </row>
    <row r="65" customFormat="false" ht="15" hidden="false" customHeight="false" outlineLevel="0" collapsed="false">
      <c r="A65" s="12"/>
      <c r="B65" s="22"/>
      <c r="C65" s="22"/>
      <c r="D65" s="14"/>
      <c r="E65" s="22"/>
      <c r="F65" s="17"/>
      <c r="G65" s="23"/>
      <c r="H65" s="17"/>
    </row>
    <row r="66" customFormat="false" ht="15" hidden="false" customHeight="false" outlineLevel="0" collapsed="false">
      <c r="A66" s="12"/>
      <c r="B66" s="22"/>
      <c r="C66" s="22"/>
      <c r="D66" s="14"/>
      <c r="E66" s="22"/>
      <c r="F66" s="17"/>
      <c r="G66" s="23"/>
      <c r="H66" s="17"/>
    </row>
  </sheetData>
  <sheetProtection sheet="true" formatCells="false"/>
  <autoFilter ref="A3:H164"/>
  <mergeCells count="2">
    <mergeCell ref="A1:G1"/>
    <mergeCell ref="A18:H18"/>
  </mergeCells>
  <conditionalFormatting sqref="A4:G64">
    <cfRule type="cellIs" priority="2" operator="equal" aboveAverage="0" equalAverage="0" bottom="0" percent="0" rank="0" text="" dxfId="8">
      <formula>"A"</formula>
    </cfRule>
    <cfRule type="expression" priority="3" aboveAverage="0" equalAverage="0" bottom="0" percent="0" rank="0" text="" dxfId="8">
      <formula>$F4="A"</formula>
    </cfRule>
    <cfRule type="expression" priority="4" aboveAverage="0" equalAverage="0" bottom="0" percent="0" rank="0" text="" dxfId="9">
      <formula>$F4="B"</formula>
    </cfRule>
    <cfRule type="expression" priority="5" aboveAverage="0" equalAverage="0" bottom="0" percent="0" rank="0" text="" dxfId="10">
      <formula>$F4="C"</formula>
    </cfRule>
  </conditionalFormatting>
  <dataValidations count="3">
    <dataValidation allowBlank="true" errorStyle="stop" operator="between" showDropDown="false" showErrorMessage="false" showInputMessage="false" sqref="F4:F164" type="list">
      <formula1>"A,B,C,—"</formula1>
      <formula2>0</formula2>
    </dataValidation>
    <dataValidation allowBlank="true" errorStyle="stop" operator="between" showDropDown="false" showErrorMessage="false" showInputMessage="false" sqref="E4:E164" type="list">
      <formula1>"SDD,Accredito,Bancomat,CC moglie,Contanti,Buoni pasto,Gift card,Altro"</formula1>
      <formula2>0</formula2>
    </dataValidation>
    <dataValidation allowBlank="true" errorStyle="stop" operator="between" showDropDown="false" showErrorMessage="false" showInputMessage="false" sqref="H4:H164" type="list">
      <formula1>"Sì,No"</formula1>
      <formula2>0</formula2>
    </dataValidation>
  </dataValidations>
  <printOptions headings="false" gridLines="tru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25" activeCellId="0" sqref="A25"/>
    </sheetView>
  </sheetViews>
  <sheetFormatPr defaultColWidth="9.7578125" defaultRowHeight="15" customHeight="true" zeroHeight="false" outlineLevelRow="0" outlineLevelCol="0"/>
  <cols>
    <col collapsed="false" customWidth="true" hidden="false" outlineLevel="0" max="1" min="1" style="0" width="13.62"/>
    <col collapsed="false" customWidth="true" hidden="false" outlineLevel="0" max="2" min="2" style="0" width="15.89"/>
    <col collapsed="false" customWidth="true" hidden="false" outlineLevel="0" max="3" min="3" style="0" width="43.14"/>
    <col collapsed="false" customWidth="true" hidden="false" outlineLevel="0" max="5" min="4" style="0" width="15.89"/>
    <col collapsed="false" customWidth="true" hidden="false" outlineLevel="0" max="6" min="6" style="0" width="9.08"/>
    <col collapsed="false" customWidth="true" hidden="false" outlineLevel="0" max="7" min="7" style="0" width="45.41"/>
    <col collapsed="false" customWidth="true" hidden="false" outlineLevel="0" max="8" min="8" style="0" width="11.35"/>
    <col collapsed="false" customWidth="true" hidden="false" outlineLevel="0" max="10" min="10" style="0" width="20.43"/>
    <col collapsed="false" customWidth="true" hidden="false" outlineLevel="0" max="11" min="11" style="0" width="18.16"/>
  </cols>
  <sheetData>
    <row r="1" customFormat="false" ht="27.75" hidden="false" customHeight="true" outlineLevel="0" collapsed="false">
      <c r="A1" s="9" t="s">
        <v>113</v>
      </c>
      <c r="B1" s="9"/>
      <c r="C1" s="9"/>
      <c r="D1" s="9"/>
      <c r="E1" s="9"/>
      <c r="F1" s="9"/>
      <c r="G1" s="9"/>
    </row>
    <row r="2" customFormat="false" ht="15" hidden="false" customHeight="false" outlineLevel="0" collapsed="false">
      <c r="F2" s="10" t="s">
        <v>63</v>
      </c>
      <c r="G2" s="4" t="n">
        <f aca="false">SUMIF($A:$A,"&lt;&gt;",$D:$D)</f>
        <v>-352</v>
      </c>
      <c r="J2" s="10" t="s">
        <v>64</v>
      </c>
      <c r="K2" s="4" t="n">
        <f aca="false">SUMIF($A:$A,"&lt;&gt;",$D:$D)</f>
        <v>-352</v>
      </c>
    </row>
    <row r="3" customFormat="false" ht="24" hidden="false" customHeight="true" outlineLevel="0" collapsed="false">
      <c r="A3" s="11" t="s">
        <v>65</v>
      </c>
      <c r="B3" s="11" t="s">
        <v>66</v>
      </c>
      <c r="C3" s="11" t="s">
        <v>67</v>
      </c>
      <c r="D3" s="11" t="s">
        <v>68</v>
      </c>
      <c r="E3" s="11" t="s">
        <v>69</v>
      </c>
      <c r="F3" s="11" t="s">
        <v>17</v>
      </c>
      <c r="G3" s="11" t="s">
        <v>70</v>
      </c>
      <c r="H3" s="11" t="s">
        <v>30</v>
      </c>
      <c r="J3" s="10" t="s">
        <v>71</v>
      </c>
      <c r="K3" s="4" t="n">
        <f aca="false">'04-Apr'!$K$3+$K$2</f>
        <v>-1117.55</v>
      </c>
    </row>
    <row r="4" customFormat="false" ht="18" hidden="false" customHeight="true" outlineLevel="0" collapsed="false">
      <c r="A4" s="12" t="n">
        <v>46143</v>
      </c>
      <c r="B4" s="13" t="s">
        <v>72</v>
      </c>
      <c r="C4" s="13" t="s">
        <v>73</v>
      </c>
      <c r="D4" s="14" t="n">
        <v>-742</v>
      </c>
      <c r="E4" s="13" t="s">
        <v>74</v>
      </c>
      <c r="F4" s="15" t="s">
        <v>19</v>
      </c>
      <c r="G4" s="16" t="s">
        <v>75</v>
      </c>
      <c r="H4" s="17"/>
    </row>
    <row r="5" customFormat="false" ht="18" hidden="false" customHeight="true" outlineLevel="0" collapsed="false">
      <c r="A5" s="12" t="n">
        <v>46143</v>
      </c>
      <c r="B5" s="13" t="s">
        <v>76</v>
      </c>
      <c r="C5" s="13" t="s">
        <v>77</v>
      </c>
      <c r="D5" s="14" t="n">
        <v>-38</v>
      </c>
      <c r="E5" s="13" t="s">
        <v>74</v>
      </c>
      <c r="F5" s="15" t="s">
        <v>21</v>
      </c>
      <c r="G5" s="16" t="s">
        <v>78</v>
      </c>
      <c r="H5" s="17"/>
    </row>
    <row r="6" customFormat="false" ht="18" hidden="false" customHeight="true" outlineLevel="0" collapsed="false">
      <c r="A6" s="12" t="n">
        <v>46143</v>
      </c>
      <c r="B6" s="13" t="s">
        <v>79</v>
      </c>
      <c r="C6" s="13" t="s">
        <v>80</v>
      </c>
      <c r="D6" s="14" t="n">
        <v>-154</v>
      </c>
      <c r="E6" s="13" t="s">
        <v>74</v>
      </c>
      <c r="F6" s="15" t="s">
        <v>21</v>
      </c>
      <c r="G6" s="16" t="s">
        <v>81</v>
      </c>
      <c r="H6" s="17"/>
    </row>
    <row r="7" customFormat="false" ht="18" hidden="false" customHeight="true" outlineLevel="0" collapsed="false">
      <c r="A7" s="12" t="n">
        <v>46144</v>
      </c>
      <c r="B7" s="13" t="s">
        <v>86</v>
      </c>
      <c r="C7" s="13" t="s">
        <v>40</v>
      </c>
      <c r="D7" s="14" t="n">
        <v>-170</v>
      </c>
      <c r="E7" s="13" t="s">
        <v>84</v>
      </c>
      <c r="F7" s="15" t="s">
        <v>21</v>
      </c>
      <c r="G7" s="16"/>
      <c r="H7" s="17"/>
    </row>
    <row r="8" customFormat="false" ht="18" hidden="false" customHeight="true" outlineLevel="0" collapsed="false">
      <c r="A8" s="12" t="n">
        <v>46151</v>
      </c>
      <c r="B8" s="13" t="s">
        <v>86</v>
      </c>
      <c r="C8" s="13" t="s">
        <v>40</v>
      </c>
      <c r="D8" s="14" t="n">
        <v>-170</v>
      </c>
      <c r="E8" s="13" t="s">
        <v>84</v>
      </c>
      <c r="F8" s="15" t="s">
        <v>21</v>
      </c>
      <c r="G8" s="16"/>
      <c r="H8" s="17"/>
    </row>
    <row r="9" customFormat="false" ht="18" hidden="false" customHeight="true" outlineLevel="0" collapsed="false">
      <c r="A9" s="12" t="n">
        <v>46157</v>
      </c>
      <c r="B9" s="13" t="s">
        <v>72</v>
      </c>
      <c r="C9" s="13" t="s">
        <v>87</v>
      </c>
      <c r="D9" s="14" t="n">
        <v>-218</v>
      </c>
      <c r="E9" s="13" t="s">
        <v>74</v>
      </c>
      <c r="F9" s="15" t="s">
        <v>19</v>
      </c>
      <c r="G9" s="16" t="s">
        <v>88</v>
      </c>
      <c r="H9" s="17"/>
    </row>
    <row r="10" customFormat="false" ht="18" hidden="false" customHeight="true" outlineLevel="0" collapsed="false">
      <c r="A10" s="12" t="n">
        <v>46157</v>
      </c>
      <c r="B10" s="13" t="s">
        <v>72</v>
      </c>
      <c r="C10" s="13" t="s">
        <v>89</v>
      </c>
      <c r="D10" s="14" t="n">
        <v>-545</v>
      </c>
      <c r="E10" s="13" t="s">
        <v>74</v>
      </c>
      <c r="F10" s="15" t="s">
        <v>19</v>
      </c>
      <c r="G10" s="16" t="s">
        <v>90</v>
      </c>
      <c r="H10" s="17"/>
    </row>
    <row r="11" customFormat="false" ht="18" hidden="false" customHeight="true" outlineLevel="0" collapsed="false">
      <c r="A11" s="12" t="n">
        <v>46157</v>
      </c>
      <c r="B11" s="13" t="s">
        <v>91</v>
      </c>
      <c r="C11" s="13" t="s">
        <v>92</v>
      </c>
      <c r="D11" s="14" t="n">
        <v>-31</v>
      </c>
      <c r="E11" s="13" t="s">
        <v>74</v>
      </c>
      <c r="F11" s="15" t="s">
        <v>21</v>
      </c>
      <c r="G11" s="16" t="s">
        <v>93</v>
      </c>
      <c r="H11" s="17"/>
    </row>
    <row r="12" customFormat="false" ht="18" hidden="false" customHeight="true" outlineLevel="0" collapsed="false">
      <c r="A12" s="12" t="n">
        <v>46157</v>
      </c>
      <c r="B12" s="13" t="s">
        <v>91</v>
      </c>
      <c r="C12" s="13" t="s">
        <v>94</v>
      </c>
      <c r="D12" s="14" t="n">
        <v>-14</v>
      </c>
      <c r="E12" s="13" t="s">
        <v>74</v>
      </c>
      <c r="F12" s="15" t="s">
        <v>21</v>
      </c>
      <c r="G12" s="16" t="s">
        <v>93</v>
      </c>
      <c r="H12" s="17"/>
    </row>
    <row r="13" customFormat="false" ht="18" hidden="false" customHeight="true" outlineLevel="0" collapsed="false">
      <c r="A13" s="12" t="n">
        <v>46157</v>
      </c>
      <c r="B13" s="13" t="s">
        <v>91</v>
      </c>
      <c r="C13" s="13" t="s">
        <v>95</v>
      </c>
      <c r="D13" s="14" t="n">
        <v>-120</v>
      </c>
      <c r="E13" s="13" t="s">
        <v>74</v>
      </c>
      <c r="F13" s="15" t="s">
        <v>21</v>
      </c>
      <c r="G13" s="16" t="s">
        <v>96</v>
      </c>
      <c r="H13" s="17"/>
    </row>
    <row r="14" customFormat="false" ht="18" hidden="false" customHeight="true" outlineLevel="0" collapsed="false">
      <c r="A14" s="12" t="n">
        <v>46157</v>
      </c>
      <c r="B14" s="13" t="s">
        <v>91</v>
      </c>
      <c r="C14" s="13" t="s">
        <v>97</v>
      </c>
      <c r="D14" s="14" t="n">
        <v>-20</v>
      </c>
      <c r="E14" s="13" t="s">
        <v>74</v>
      </c>
      <c r="F14" s="15" t="s">
        <v>21</v>
      </c>
      <c r="G14" s="16" t="s">
        <v>96</v>
      </c>
      <c r="H14" s="17"/>
    </row>
    <row r="15" customFormat="false" ht="18" hidden="false" customHeight="true" outlineLevel="0" collapsed="false">
      <c r="A15" s="12" t="n">
        <v>46158</v>
      </c>
      <c r="B15" s="13" t="s">
        <v>86</v>
      </c>
      <c r="C15" s="13" t="s">
        <v>40</v>
      </c>
      <c r="D15" s="14" t="n">
        <v>-170</v>
      </c>
      <c r="E15" s="13" t="s">
        <v>84</v>
      </c>
      <c r="F15" s="15" t="s">
        <v>21</v>
      </c>
      <c r="G15" s="16"/>
      <c r="H15" s="17"/>
    </row>
    <row r="16" customFormat="false" ht="19.5" hidden="false" customHeight="true" outlineLevel="0" collapsed="false">
      <c r="A16" s="12" t="n">
        <v>46165</v>
      </c>
      <c r="B16" s="13" t="s">
        <v>86</v>
      </c>
      <c r="C16" s="13" t="s">
        <v>40</v>
      </c>
      <c r="D16" s="14" t="n">
        <v>-170</v>
      </c>
      <c r="E16" s="13" t="s">
        <v>84</v>
      </c>
      <c r="F16" s="15" t="s">
        <v>21</v>
      </c>
      <c r="G16" s="16"/>
      <c r="H16" s="17"/>
    </row>
    <row r="17" customFormat="false" ht="18" hidden="false" customHeight="true" outlineLevel="0" collapsed="false">
      <c r="A17" s="12" t="n">
        <v>46169</v>
      </c>
      <c r="B17" s="13" t="s">
        <v>98</v>
      </c>
      <c r="C17" s="13" t="s">
        <v>99</v>
      </c>
      <c r="D17" s="14" t="n">
        <v>2380</v>
      </c>
      <c r="E17" s="13" t="s">
        <v>100</v>
      </c>
      <c r="F17" s="15" t="s">
        <v>19</v>
      </c>
      <c r="G17" s="16"/>
      <c r="H17" s="17"/>
    </row>
    <row r="18" customFormat="false" ht="18" hidden="false" customHeight="true" outlineLevel="0" collapsed="false">
      <c r="A18" s="12" t="n">
        <v>46172</v>
      </c>
      <c r="B18" s="13" t="s">
        <v>86</v>
      </c>
      <c r="C18" s="13" t="s">
        <v>40</v>
      </c>
      <c r="D18" s="14" t="n">
        <v>-170</v>
      </c>
      <c r="E18" s="13" t="s">
        <v>101</v>
      </c>
      <c r="F18" s="15" t="s">
        <v>21</v>
      </c>
      <c r="G18" s="16"/>
      <c r="H18" s="17"/>
    </row>
    <row r="19" customFormat="false" ht="18" hidden="false" customHeight="true" outlineLevel="0" collapsed="false">
      <c r="A19" s="12"/>
      <c r="B19" s="18"/>
      <c r="C19" s="18"/>
      <c r="D19" s="18"/>
      <c r="E19" s="18"/>
      <c r="F19" s="18"/>
      <c r="G19" s="18"/>
      <c r="H19" s="17"/>
    </row>
    <row r="20" customFormat="false" ht="18" hidden="false" customHeight="true" outlineLevel="0" collapsed="false">
      <c r="A20" s="19" t="s">
        <v>102</v>
      </c>
      <c r="B20" s="19"/>
      <c r="C20" s="19"/>
      <c r="D20" s="19"/>
      <c r="E20" s="19"/>
      <c r="F20" s="19"/>
      <c r="G20" s="19"/>
      <c r="H20" s="19"/>
    </row>
    <row r="21" customFormat="false" ht="16.4" hidden="false" customHeight="false" outlineLevel="0" collapsed="false">
      <c r="A21" s="12" t="s">
        <v>103</v>
      </c>
      <c r="B21" s="18"/>
      <c r="C21" s="18"/>
      <c r="D21" s="18"/>
      <c r="E21" s="18"/>
      <c r="F21" s="18"/>
      <c r="G21" s="18"/>
      <c r="H21" s="17"/>
    </row>
    <row r="22" customFormat="false" ht="16.4" hidden="false" customHeight="false" outlineLevel="0" collapsed="false">
      <c r="A22" s="12" t="s">
        <v>104</v>
      </c>
      <c r="B22" s="20"/>
      <c r="C22" s="20"/>
      <c r="D22" s="20"/>
      <c r="E22" s="20"/>
      <c r="F22" s="20"/>
      <c r="G22" s="21"/>
      <c r="H22" s="17"/>
    </row>
    <row r="23" customFormat="false" ht="16.4" hidden="false" customHeight="false" outlineLevel="0" collapsed="false">
      <c r="A23" s="12" t="s">
        <v>105</v>
      </c>
      <c r="B23" s="20"/>
      <c r="C23" s="20"/>
      <c r="D23" s="20"/>
      <c r="E23" s="20"/>
      <c r="F23" s="20"/>
      <c r="G23" s="21"/>
      <c r="H23" s="17"/>
    </row>
    <row r="24" customFormat="false" ht="16.4" hidden="false" customHeight="false" outlineLevel="0" collapsed="false">
      <c r="A24" s="12" t="s">
        <v>106</v>
      </c>
      <c r="B24" s="20"/>
      <c r="C24" s="21"/>
      <c r="D24" s="18"/>
      <c r="E24" s="18"/>
      <c r="F24" s="18"/>
      <c r="G24" s="18"/>
      <c r="H24" s="17"/>
    </row>
    <row r="25" customFormat="false" ht="15" hidden="false" customHeight="false" outlineLevel="0" collapsed="false">
      <c r="A25" s="12"/>
      <c r="B25" s="13"/>
      <c r="C25" s="13"/>
      <c r="D25" s="14"/>
      <c r="E25" s="13"/>
      <c r="F25" s="15"/>
      <c r="G25" s="16"/>
      <c r="H25" s="17"/>
    </row>
    <row r="26" customFormat="false" ht="16.4" hidden="false" customHeight="false" outlineLevel="0" collapsed="false">
      <c r="A26" s="12"/>
      <c r="B26" s="13"/>
      <c r="C26" s="13"/>
      <c r="D26" s="20"/>
      <c r="E26" s="20"/>
      <c r="F26" s="20"/>
      <c r="G26" s="21"/>
      <c r="H26" s="17"/>
    </row>
    <row r="27" customFormat="false" ht="15" hidden="false" customHeight="false" outlineLevel="0" collapsed="false">
      <c r="A27" s="12"/>
      <c r="B27" s="13"/>
      <c r="C27" s="13"/>
      <c r="D27" s="14"/>
      <c r="E27" s="13"/>
      <c r="F27" s="15"/>
      <c r="G27" s="16"/>
      <c r="H27" s="17"/>
    </row>
    <row r="28" customFormat="false" ht="15" hidden="false" customHeight="false" outlineLevel="0" collapsed="false">
      <c r="A28" s="12"/>
      <c r="B28" s="13"/>
      <c r="C28" s="13"/>
      <c r="D28" s="14"/>
      <c r="E28" s="13"/>
      <c r="F28" s="15"/>
      <c r="G28" s="16"/>
      <c r="H28" s="17"/>
    </row>
    <row r="29" customFormat="false" ht="15" hidden="false" customHeight="false" outlineLevel="0" collapsed="false">
      <c r="A29" s="12"/>
      <c r="B29" s="13"/>
      <c r="C29" s="13"/>
      <c r="D29" s="14"/>
      <c r="E29" s="13"/>
      <c r="F29" s="15"/>
      <c r="G29" s="16"/>
      <c r="H29" s="17"/>
    </row>
    <row r="30" customFormat="false" ht="15" hidden="false" customHeight="false" outlineLevel="0" collapsed="false">
      <c r="A30" s="12"/>
      <c r="B30" s="13"/>
      <c r="C30" s="13"/>
      <c r="D30" s="14"/>
      <c r="E30" s="13"/>
      <c r="F30" s="15"/>
      <c r="G30" s="16"/>
      <c r="H30" s="17"/>
    </row>
    <row r="31" customFormat="false" ht="15" hidden="false" customHeight="false" outlineLevel="0" collapsed="false">
      <c r="A31" s="12"/>
      <c r="B31" s="13"/>
      <c r="C31" s="13"/>
      <c r="D31" s="14"/>
      <c r="E31" s="13"/>
      <c r="F31" s="15"/>
      <c r="G31" s="16"/>
      <c r="H31" s="17"/>
    </row>
    <row r="32" customFormat="false" ht="15" hidden="false" customHeight="false" outlineLevel="0" collapsed="false">
      <c r="A32" s="12"/>
      <c r="B32" s="13"/>
      <c r="C32" s="13"/>
      <c r="D32" s="14"/>
      <c r="E32" s="13"/>
      <c r="F32" s="15"/>
      <c r="G32" s="16"/>
      <c r="H32" s="17"/>
    </row>
    <row r="33" customFormat="false" ht="15" hidden="false" customHeight="false" outlineLevel="0" collapsed="false">
      <c r="A33" s="12"/>
      <c r="B33" s="13"/>
      <c r="C33" s="13"/>
      <c r="D33" s="14"/>
      <c r="E33" s="13"/>
      <c r="F33" s="15"/>
      <c r="G33" s="16"/>
      <c r="H33" s="17"/>
    </row>
    <row r="34" customFormat="false" ht="15" hidden="false" customHeight="false" outlineLevel="0" collapsed="false">
      <c r="A34" s="12"/>
      <c r="B34" s="13"/>
      <c r="C34" s="13"/>
      <c r="D34" s="14"/>
      <c r="E34" s="13"/>
      <c r="F34" s="15"/>
      <c r="G34" s="16"/>
      <c r="H34" s="17"/>
    </row>
    <row r="35" customFormat="false" ht="15" hidden="false" customHeight="false" outlineLevel="0" collapsed="false">
      <c r="A35" s="12"/>
      <c r="B35" s="13"/>
      <c r="C35" s="13"/>
      <c r="D35" s="14"/>
      <c r="E35" s="13"/>
      <c r="F35" s="15"/>
      <c r="G35" s="16"/>
      <c r="H35" s="17"/>
    </row>
    <row r="36" customFormat="false" ht="15" hidden="false" customHeight="false" outlineLevel="0" collapsed="false">
      <c r="A36" s="12"/>
      <c r="B36" s="13"/>
      <c r="C36" s="13"/>
      <c r="D36" s="14"/>
      <c r="E36" s="13"/>
      <c r="F36" s="15"/>
      <c r="G36" s="16"/>
      <c r="H36" s="17"/>
    </row>
    <row r="37" customFormat="false" ht="15" hidden="false" customHeight="false" outlineLevel="0" collapsed="false">
      <c r="A37" s="12"/>
      <c r="B37" s="13"/>
      <c r="C37" s="13"/>
      <c r="D37" s="14"/>
      <c r="E37" s="13"/>
      <c r="F37" s="15"/>
      <c r="G37" s="16"/>
      <c r="H37" s="17"/>
    </row>
    <row r="38" customFormat="false" ht="15" hidden="false" customHeight="false" outlineLevel="0" collapsed="false">
      <c r="A38" s="12"/>
      <c r="B38" s="13"/>
      <c r="C38" s="13"/>
      <c r="D38" s="14"/>
      <c r="E38" s="13"/>
      <c r="F38" s="15"/>
      <c r="G38" s="16"/>
      <c r="H38" s="17"/>
    </row>
    <row r="39" customFormat="false" ht="15" hidden="false" customHeight="false" outlineLevel="0" collapsed="false">
      <c r="A39" s="12"/>
      <c r="B39" s="13"/>
      <c r="C39" s="13"/>
      <c r="D39" s="14"/>
      <c r="E39" s="13"/>
      <c r="F39" s="15"/>
      <c r="G39" s="16"/>
      <c r="H39" s="17"/>
    </row>
    <row r="40" customFormat="false" ht="15" hidden="false" customHeight="false" outlineLevel="0" collapsed="false">
      <c r="A40" s="12"/>
      <c r="B40" s="13"/>
      <c r="C40" s="13"/>
      <c r="D40" s="14"/>
      <c r="E40" s="13"/>
      <c r="F40" s="15"/>
      <c r="G40" s="16"/>
      <c r="H40" s="17"/>
    </row>
    <row r="41" customFormat="false" ht="15" hidden="false" customHeight="false" outlineLevel="0" collapsed="false">
      <c r="A41" s="12"/>
      <c r="B41" s="13"/>
      <c r="C41" s="13"/>
      <c r="D41" s="14"/>
      <c r="E41" s="13"/>
      <c r="F41" s="15"/>
      <c r="G41" s="16"/>
      <c r="H41" s="17"/>
    </row>
    <row r="42" customFormat="false" ht="15" hidden="false" customHeight="false" outlineLevel="0" collapsed="false">
      <c r="A42" s="12"/>
      <c r="B42" s="13"/>
      <c r="C42" s="13"/>
      <c r="D42" s="14"/>
      <c r="E42" s="13"/>
      <c r="F42" s="15"/>
      <c r="G42" s="16"/>
      <c r="H42" s="17"/>
    </row>
    <row r="43" customFormat="false" ht="15" hidden="false" customHeight="false" outlineLevel="0" collapsed="false">
      <c r="A43" s="12"/>
      <c r="B43" s="13"/>
      <c r="C43" s="13"/>
      <c r="D43" s="14"/>
      <c r="E43" s="13"/>
      <c r="F43" s="15"/>
      <c r="G43" s="16"/>
      <c r="H43" s="17"/>
    </row>
    <row r="44" customFormat="false" ht="15" hidden="false" customHeight="false" outlineLevel="0" collapsed="false">
      <c r="A44" s="12"/>
      <c r="B44" s="13"/>
      <c r="C44" s="13"/>
      <c r="D44" s="14"/>
      <c r="E44" s="13"/>
      <c r="F44" s="15"/>
      <c r="G44" s="16"/>
      <c r="H44" s="17"/>
    </row>
    <row r="45" customFormat="false" ht="15" hidden="false" customHeight="false" outlineLevel="0" collapsed="false">
      <c r="A45" s="12"/>
      <c r="B45" s="13"/>
      <c r="C45" s="13"/>
      <c r="D45" s="14"/>
      <c r="E45" s="13"/>
      <c r="F45" s="15"/>
      <c r="G45" s="16"/>
      <c r="H45" s="17"/>
    </row>
    <row r="46" customFormat="false" ht="15" hidden="false" customHeight="false" outlineLevel="0" collapsed="false">
      <c r="A46" s="12"/>
      <c r="B46" s="13"/>
      <c r="C46" s="13"/>
      <c r="D46" s="14"/>
      <c r="E46" s="13"/>
      <c r="F46" s="15"/>
      <c r="G46" s="16"/>
      <c r="H46" s="17"/>
    </row>
    <row r="47" customFormat="false" ht="15" hidden="false" customHeight="false" outlineLevel="0" collapsed="false">
      <c r="A47" s="12"/>
      <c r="B47" s="13"/>
      <c r="C47" s="13"/>
      <c r="D47" s="14"/>
      <c r="E47" s="13"/>
      <c r="F47" s="15"/>
      <c r="G47" s="16"/>
      <c r="H47" s="17"/>
    </row>
    <row r="48" customFormat="false" ht="15" hidden="false" customHeight="false" outlineLevel="0" collapsed="false">
      <c r="A48" s="12"/>
      <c r="B48" s="13"/>
      <c r="C48" s="13"/>
      <c r="D48" s="14"/>
      <c r="E48" s="13"/>
      <c r="F48" s="15"/>
      <c r="G48" s="16"/>
      <c r="H48" s="17"/>
    </row>
    <row r="49" customFormat="false" ht="15" hidden="false" customHeight="false" outlineLevel="0" collapsed="false">
      <c r="A49" s="12"/>
      <c r="B49" s="13"/>
      <c r="C49" s="13"/>
      <c r="D49" s="14"/>
      <c r="E49" s="13"/>
      <c r="F49" s="15"/>
      <c r="G49" s="16"/>
      <c r="H49" s="17"/>
    </row>
    <row r="50" customFormat="false" ht="15" hidden="false" customHeight="false" outlineLevel="0" collapsed="false">
      <c r="A50" s="12"/>
      <c r="B50" s="13"/>
      <c r="C50" s="13"/>
      <c r="D50" s="14"/>
      <c r="E50" s="13"/>
      <c r="F50" s="15"/>
      <c r="G50" s="16"/>
      <c r="H50" s="17"/>
    </row>
    <row r="51" customFormat="false" ht="15" hidden="false" customHeight="false" outlineLevel="0" collapsed="false">
      <c r="A51" s="12"/>
      <c r="B51" s="13"/>
      <c r="C51" s="13"/>
      <c r="D51" s="14"/>
      <c r="E51" s="13"/>
      <c r="F51" s="15"/>
      <c r="G51" s="16"/>
      <c r="H51" s="17"/>
    </row>
    <row r="52" customFormat="false" ht="15" hidden="false" customHeight="false" outlineLevel="0" collapsed="false">
      <c r="A52" s="12"/>
      <c r="B52" s="13"/>
      <c r="C52" s="13"/>
      <c r="D52" s="14"/>
      <c r="E52" s="13"/>
      <c r="F52" s="15"/>
      <c r="G52" s="16"/>
      <c r="H52" s="17"/>
    </row>
    <row r="53" customFormat="false" ht="15" hidden="false" customHeight="false" outlineLevel="0" collapsed="false">
      <c r="A53" s="12"/>
      <c r="B53" s="13"/>
      <c r="C53" s="13"/>
      <c r="D53" s="14"/>
      <c r="E53" s="13"/>
      <c r="F53" s="15"/>
      <c r="G53" s="16"/>
      <c r="H53" s="17"/>
    </row>
    <row r="54" customFormat="false" ht="15" hidden="false" customHeight="false" outlineLevel="0" collapsed="false">
      <c r="A54" s="12"/>
      <c r="B54" s="13"/>
      <c r="C54" s="13"/>
      <c r="D54" s="14"/>
      <c r="E54" s="13"/>
      <c r="F54" s="15"/>
      <c r="G54" s="16"/>
      <c r="H54" s="17"/>
    </row>
    <row r="55" customFormat="false" ht="15" hidden="false" customHeight="false" outlineLevel="0" collapsed="false">
      <c r="A55" s="12"/>
      <c r="B55" s="13"/>
      <c r="C55" s="13"/>
      <c r="D55" s="14"/>
      <c r="E55" s="13"/>
      <c r="F55" s="15"/>
      <c r="G55" s="16"/>
      <c r="H55" s="17"/>
    </row>
    <row r="56" customFormat="false" ht="15" hidden="false" customHeight="false" outlineLevel="0" collapsed="false">
      <c r="A56" s="12"/>
      <c r="B56" s="13"/>
      <c r="C56" s="13"/>
      <c r="D56" s="14"/>
      <c r="E56" s="13"/>
      <c r="F56" s="15"/>
      <c r="G56" s="16"/>
      <c r="H56" s="17"/>
    </row>
    <row r="57" customFormat="false" ht="15" hidden="false" customHeight="false" outlineLevel="0" collapsed="false">
      <c r="A57" s="12"/>
      <c r="B57" s="13"/>
      <c r="C57" s="13"/>
      <c r="D57" s="14"/>
      <c r="E57" s="13"/>
      <c r="F57" s="15"/>
      <c r="G57" s="16"/>
      <c r="H57" s="17"/>
    </row>
    <row r="58" customFormat="false" ht="15" hidden="false" customHeight="false" outlineLevel="0" collapsed="false">
      <c r="A58" s="12"/>
      <c r="B58" s="13"/>
      <c r="C58" s="13"/>
      <c r="D58" s="14"/>
      <c r="E58" s="13"/>
      <c r="F58" s="15"/>
      <c r="G58" s="16"/>
      <c r="H58" s="17"/>
    </row>
    <row r="59" customFormat="false" ht="15" hidden="false" customHeight="false" outlineLevel="0" collapsed="false">
      <c r="A59" s="12"/>
      <c r="B59" s="13"/>
      <c r="C59" s="13"/>
      <c r="D59" s="14"/>
      <c r="E59" s="13"/>
      <c r="F59" s="15"/>
      <c r="G59" s="16"/>
      <c r="H59" s="17"/>
    </row>
    <row r="60" customFormat="false" ht="15" hidden="false" customHeight="false" outlineLevel="0" collapsed="false">
      <c r="A60" s="12"/>
      <c r="B60" s="13"/>
      <c r="C60" s="13"/>
      <c r="D60" s="14"/>
      <c r="E60" s="13"/>
      <c r="F60" s="15"/>
      <c r="G60" s="16"/>
      <c r="H60" s="17"/>
    </row>
    <row r="61" customFormat="false" ht="15" hidden="false" customHeight="false" outlineLevel="0" collapsed="false">
      <c r="A61" s="12"/>
      <c r="B61" s="13"/>
      <c r="C61" s="13"/>
      <c r="D61" s="14"/>
      <c r="E61" s="13"/>
      <c r="F61" s="15"/>
      <c r="G61" s="16"/>
      <c r="H61" s="17"/>
    </row>
    <row r="62" customFormat="false" ht="15" hidden="false" customHeight="false" outlineLevel="0" collapsed="false">
      <c r="A62" s="12"/>
      <c r="B62" s="13"/>
      <c r="C62" s="13"/>
      <c r="D62" s="14"/>
      <c r="E62" s="13"/>
      <c r="F62" s="15"/>
      <c r="G62" s="16"/>
      <c r="H62" s="17"/>
    </row>
    <row r="63" customFormat="false" ht="15" hidden="false" customHeight="false" outlineLevel="0" collapsed="false">
      <c r="A63" s="12"/>
      <c r="B63" s="13"/>
      <c r="C63" s="13"/>
      <c r="D63" s="14"/>
      <c r="E63" s="13"/>
      <c r="F63" s="15"/>
      <c r="G63" s="16"/>
      <c r="H63" s="17"/>
    </row>
    <row r="64" customFormat="false" ht="15" hidden="false" customHeight="false" outlineLevel="0" collapsed="false">
      <c r="A64" s="12"/>
      <c r="B64" s="13"/>
      <c r="C64" s="13"/>
      <c r="D64" s="14"/>
      <c r="E64" s="13"/>
      <c r="F64" s="15"/>
      <c r="G64" s="16"/>
      <c r="H64" s="17"/>
    </row>
    <row r="65" customFormat="false" ht="15" hidden="false" customHeight="false" outlineLevel="0" collapsed="false">
      <c r="A65" s="12"/>
      <c r="B65" s="22"/>
      <c r="C65" s="22"/>
      <c r="D65" s="14"/>
      <c r="E65" s="22"/>
      <c r="F65" s="17"/>
      <c r="G65" s="23"/>
      <c r="H65" s="17"/>
    </row>
    <row r="66" customFormat="false" ht="15" hidden="false" customHeight="false" outlineLevel="0" collapsed="false">
      <c r="A66" s="12"/>
      <c r="B66" s="22"/>
      <c r="C66" s="22"/>
      <c r="D66" s="14"/>
      <c r="E66" s="22"/>
      <c r="F66" s="17"/>
      <c r="G66" s="23"/>
      <c r="H66" s="17"/>
    </row>
  </sheetData>
  <sheetProtection sheet="true" formatCells="false"/>
  <autoFilter ref="A3:H164"/>
  <mergeCells count="2">
    <mergeCell ref="A1:G1"/>
    <mergeCell ref="A20:H20"/>
  </mergeCells>
  <conditionalFormatting sqref="A4:G64">
    <cfRule type="cellIs" priority="2" operator="equal" aboveAverage="0" equalAverage="0" bottom="0" percent="0" rank="0" text="" dxfId="8">
      <formula>"A"</formula>
    </cfRule>
    <cfRule type="expression" priority="3" aboveAverage="0" equalAverage="0" bottom="0" percent="0" rank="0" text="" dxfId="8">
      <formula>$F4="A"</formula>
    </cfRule>
    <cfRule type="expression" priority="4" aboveAverage="0" equalAverage="0" bottom="0" percent="0" rank="0" text="" dxfId="9">
      <formula>$F4="B"</formula>
    </cfRule>
    <cfRule type="expression" priority="5" aboveAverage="0" equalAverage="0" bottom="0" percent="0" rank="0" text="" dxfId="10">
      <formula>$F4="C"</formula>
    </cfRule>
  </conditionalFormatting>
  <dataValidations count="3">
    <dataValidation allowBlank="true" errorStyle="stop" operator="between" showDropDown="false" showErrorMessage="false" showInputMessage="false" sqref="F4:F164" type="list">
      <formula1>"A,B,C,—"</formula1>
      <formula2>0</formula2>
    </dataValidation>
    <dataValidation allowBlank="true" errorStyle="stop" operator="between" showDropDown="false" showErrorMessage="false" showInputMessage="false" sqref="E4:E164" type="list">
      <formula1>"SDD,Accredito,Bancomat,CC moglie,Contanti,Buoni pasto,Gift card,Altro"</formula1>
      <formula2>0</formula2>
    </dataValidation>
    <dataValidation allowBlank="true" errorStyle="stop" operator="between" showDropDown="false" showErrorMessage="false" showInputMessage="false" sqref="H4:H164" type="list">
      <formula1>"Sì,No"</formula1>
      <formula2>0</formula2>
    </dataValidation>
  </dataValidations>
  <printOptions headings="false" gridLines="tru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G17" activeCellId="0" sqref="G17"/>
    </sheetView>
  </sheetViews>
  <sheetFormatPr defaultColWidth="9.7578125" defaultRowHeight="15" customHeight="true" zeroHeight="false" outlineLevelRow="0" outlineLevelCol="0"/>
  <cols>
    <col collapsed="false" customWidth="true" hidden="false" outlineLevel="0" max="1" min="1" style="0" width="13.62"/>
    <col collapsed="false" customWidth="true" hidden="false" outlineLevel="0" max="2" min="2" style="0" width="15.89"/>
    <col collapsed="false" customWidth="true" hidden="false" outlineLevel="0" max="3" min="3" style="0" width="43.14"/>
    <col collapsed="false" customWidth="true" hidden="false" outlineLevel="0" max="5" min="4" style="0" width="15.89"/>
    <col collapsed="false" customWidth="true" hidden="false" outlineLevel="0" max="6" min="6" style="0" width="9.08"/>
    <col collapsed="false" customWidth="true" hidden="false" outlineLevel="0" max="7" min="7" style="0" width="45.41"/>
    <col collapsed="false" customWidth="true" hidden="false" outlineLevel="0" max="8" min="8" style="0" width="11.35"/>
    <col collapsed="false" customWidth="true" hidden="false" outlineLevel="0" max="10" min="10" style="0" width="20.43"/>
    <col collapsed="false" customWidth="true" hidden="false" outlineLevel="0" max="11" min="11" style="0" width="18.16"/>
  </cols>
  <sheetData>
    <row r="1" customFormat="false" ht="27.75" hidden="false" customHeight="true" outlineLevel="0" collapsed="false">
      <c r="A1" s="9" t="s">
        <v>114</v>
      </c>
      <c r="B1" s="9"/>
      <c r="C1" s="9"/>
      <c r="D1" s="9"/>
      <c r="E1" s="9"/>
      <c r="F1" s="9"/>
      <c r="G1" s="9"/>
    </row>
    <row r="2" customFormat="false" ht="15" hidden="false" customHeight="false" outlineLevel="0" collapsed="false">
      <c r="F2" s="10" t="s">
        <v>63</v>
      </c>
      <c r="G2" s="4" t="n">
        <f aca="false">SUMIF($A:$A,"&lt;&gt;",$D:$D)</f>
        <v>2352</v>
      </c>
      <c r="J2" s="10" t="s">
        <v>64</v>
      </c>
      <c r="K2" s="4" t="n">
        <f aca="false">SUMIF($A:$A,"&lt;&gt;",$D:$D)</f>
        <v>2352</v>
      </c>
    </row>
    <row r="3" customFormat="false" ht="24" hidden="false" customHeight="true" outlineLevel="0" collapsed="false">
      <c r="A3" s="11" t="s">
        <v>65</v>
      </c>
      <c r="B3" s="11" t="s">
        <v>66</v>
      </c>
      <c r="C3" s="11" t="s">
        <v>67</v>
      </c>
      <c r="D3" s="11" t="s">
        <v>68</v>
      </c>
      <c r="E3" s="11" t="s">
        <v>69</v>
      </c>
      <c r="F3" s="11" t="s">
        <v>17</v>
      </c>
      <c r="G3" s="11" t="s">
        <v>70</v>
      </c>
      <c r="H3" s="11" t="s">
        <v>30</v>
      </c>
      <c r="J3" s="10" t="s">
        <v>71</v>
      </c>
      <c r="K3" s="4" t="n">
        <f aca="false">'05-May'!$K$3+$K$2</f>
        <v>1234.45</v>
      </c>
    </row>
    <row r="4" customFormat="false" ht="18" hidden="false" customHeight="true" outlineLevel="0" collapsed="false">
      <c r="A4" s="12" t="n">
        <v>46174</v>
      </c>
      <c r="B4" s="13" t="s">
        <v>72</v>
      </c>
      <c r="C4" s="13" t="s">
        <v>73</v>
      </c>
      <c r="D4" s="14" t="n">
        <v>-742</v>
      </c>
      <c r="E4" s="13" t="s">
        <v>74</v>
      </c>
      <c r="F4" s="15" t="s">
        <v>19</v>
      </c>
      <c r="G4" s="16" t="s">
        <v>75</v>
      </c>
      <c r="H4" s="17"/>
    </row>
    <row r="5" customFormat="false" ht="18" hidden="false" customHeight="true" outlineLevel="0" collapsed="false">
      <c r="A5" s="12" t="n">
        <v>46174</v>
      </c>
      <c r="B5" s="13" t="s">
        <v>76</v>
      </c>
      <c r="C5" s="13" t="s">
        <v>77</v>
      </c>
      <c r="D5" s="14" t="n">
        <v>-38</v>
      </c>
      <c r="E5" s="13" t="s">
        <v>74</v>
      </c>
      <c r="F5" s="15" t="s">
        <v>21</v>
      </c>
      <c r="G5" s="16" t="s">
        <v>78</v>
      </c>
      <c r="H5" s="17"/>
    </row>
    <row r="6" customFormat="false" ht="18" hidden="false" customHeight="true" outlineLevel="0" collapsed="false">
      <c r="A6" s="12" t="n">
        <v>46179</v>
      </c>
      <c r="B6" s="13" t="s">
        <v>86</v>
      </c>
      <c r="C6" s="13" t="s">
        <v>40</v>
      </c>
      <c r="D6" s="14" t="n">
        <v>-170</v>
      </c>
      <c r="E6" s="13" t="s">
        <v>84</v>
      </c>
      <c r="F6" s="15" t="s">
        <v>21</v>
      </c>
      <c r="G6" s="16"/>
      <c r="H6" s="17"/>
    </row>
    <row r="7" customFormat="false" ht="18" hidden="false" customHeight="true" outlineLevel="0" collapsed="false">
      <c r="A7" s="12" t="n">
        <v>46186</v>
      </c>
      <c r="B7" s="13" t="s">
        <v>86</v>
      </c>
      <c r="C7" s="13" t="s">
        <v>40</v>
      </c>
      <c r="D7" s="14" t="n">
        <v>-170</v>
      </c>
      <c r="E7" s="13" t="s">
        <v>84</v>
      </c>
      <c r="F7" s="15" t="s">
        <v>21</v>
      </c>
      <c r="G7" s="16"/>
      <c r="H7" s="17"/>
    </row>
    <row r="8" customFormat="false" ht="18" hidden="false" customHeight="true" outlineLevel="0" collapsed="false">
      <c r="A8" s="12" t="n">
        <v>46188</v>
      </c>
      <c r="B8" s="13" t="s">
        <v>72</v>
      </c>
      <c r="C8" s="13" t="s">
        <v>87</v>
      </c>
      <c r="D8" s="14" t="n">
        <v>-218</v>
      </c>
      <c r="E8" s="13" t="s">
        <v>74</v>
      </c>
      <c r="F8" s="15" t="s">
        <v>19</v>
      </c>
      <c r="G8" s="16" t="s">
        <v>88</v>
      </c>
      <c r="H8" s="17"/>
    </row>
    <row r="9" customFormat="false" ht="18" hidden="false" customHeight="true" outlineLevel="0" collapsed="false">
      <c r="A9" s="12" t="n">
        <v>46188</v>
      </c>
      <c r="B9" s="13" t="s">
        <v>72</v>
      </c>
      <c r="C9" s="13" t="s">
        <v>89</v>
      </c>
      <c r="D9" s="14" t="n">
        <v>-545</v>
      </c>
      <c r="E9" s="13" t="s">
        <v>74</v>
      </c>
      <c r="F9" s="15" t="s">
        <v>19</v>
      </c>
      <c r="G9" s="16" t="s">
        <v>90</v>
      </c>
      <c r="H9" s="17"/>
    </row>
    <row r="10" customFormat="false" ht="18" hidden="false" customHeight="true" outlineLevel="0" collapsed="false">
      <c r="A10" s="12" t="n">
        <v>46188</v>
      </c>
      <c r="B10" s="13" t="s">
        <v>91</v>
      </c>
      <c r="C10" s="13" t="s">
        <v>92</v>
      </c>
      <c r="D10" s="14" t="n">
        <v>-31</v>
      </c>
      <c r="E10" s="13" t="s">
        <v>74</v>
      </c>
      <c r="F10" s="15" t="s">
        <v>21</v>
      </c>
      <c r="G10" s="16" t="s">
        <v>93</v>
      </c>
      <c r="H10" s="17"/>
    </row>
    <row r="11" customFormat="false" ht="18" hidden="false" customHeight="true" outlineLevel="0" collapsed="false">
      <c r="A11" s="12" t="n">
        <v>46188</v>
      </c>
      <c r="B11" s="13" t="s">
        <v>91</v>
      </c>
      <c r="C11" s="13" t="s">
        <v>94</v>
      </c>
      <c r="D11" s="14" t="n">
        <v>-14</v>
      </c>
      <c r="E11" s="13" t="s">
        <v>74</v>
      </c>
      <c r="F11" s="15" t="s">
        <v>21</v>
      </c>
      <c r="G11" s="16" t="s">
        <v>93</v>
      </c>
      <c r="H11" s="17"/>
    </row>
    <row r="12" customFormat="false" ht="18" hidden="false" customHeight="true" outlineLevel="0" collapsed="false">
      <c r="A12" s="12" t="n">
        <v>46188</v>
      </c>
      <c r="B12" s="13" t="s">
        <v>91</v>
      </c>
      <c r="C12" s="13" t="s">
        <v>95</v>
      </c>
      <c r="D12" s="14" t="n">
        <v>-120</v>
      </c>
      <c r="E12" s="13" t="s">
        <v>74</v>
      </c>
      <c r="F12" s="15" t="s">
        <v>21</v>
      </c>
      <c r="G12" s="16" t="s">
        <v>96</v>
      </c>
      <c r="H12" s="17"/>
    </row>
    <row r="13" customFormat="false" ht="18" hidden="false" customHeight="true" outlineLevel="0" collapsed="false">
      <c r="A13" s="12" t="n">
        <v>46188</v>
      </c>
      <c r="B13" s="13" t="s">
        <v>91</v>
      </c>
      <c r="C13" s="13" t="s">
        <v>97</v>
      </c>
      <c r="D13" s="14" t="n">
        <v>-20</v>
      </c>
      <c r="E13" s="13" t="s">
        <v>74</v>
      </c>
      <c r="F13" s="15" t="s">
        <v>21</v>
      </c>
      <c r="G13" s="16" t="s">
        <v>96</v>
      </c>
      <c r="H13" s="17"/>
    </row>
    <row r="14" customFormat="false" ht="18" hidden="false" customHeight="true" outlineLevel="0" collapsed="false">
      <c r="A14" s="12" t="n">
        <v>46193</v>
      </c>
      <c r="B14" s="13" t="s">
        <v>86</v>
      </c>
      <c r="C14" s="13" t="s">
        <v>40</v>
      </c>
      <c r="D14" s="14" t="n">
        <v>-170</v>
      </c>
      <c r="E14" s="13" t="s">
        <v>84</v>
      </c>
      <c r="F14" s="15" t="s">
        <v>21</v>
      </c>
      <c r="G14" s="16"/>
      <c r="H14" s="17"/>
    </row>
    <row r="15" customFormat="false" ht="19.5" hidden="false" customHeight="true" outlineLevel="0" collapsed="false">
      <c r="A15" s="12" t="n">
        <v>46200</v>
      </c>
      <c r="B15" s="13" t="s">
        <v>86</v>
      </c>
      <c r="C15" s="13" t="s">
        <v>40</v>
      </c>
      <c r="D15" s="14" t="n">
        <v>-170</v>
      </c>
      <c r="E15" s="13" t="s">
        <v>101</v>
      </c>
      <c r="F15" s="15" t="s">
        <v>21</v>
      </c>
      <c r="G15" s="16"/>
      <c r="H15" s="17"/>
    </row>
    <row r="16" customFormat="false" ht="18" hidden="false" customHeight="true" outlineLevel="0" collapsed="false">
      <c r="A16" s="12" t="n">
        <v>46200</v>
      </c>
      <c r="B16" s="13" t="s">
        <v>98</v>
      </c>
      <c r="C16" s="13" t="s">
        <v>99</v>
      </c>
      <c r="D16" s="14" t="n">
        <f aca="false">2380*2</f>
        <v>4760</v>
      </c>
      <c r="E16" s="13" t="s">
        <v>100</v>
      </c>
      <c r="F16" s="15" t="s">
        <v>19</v>
      </c>
      <c r="G16" s="16" t="s">
        <v>115</v>
      </c>
      <c r="H16" s="17"/>
    </row>
    <row r="17" customFormat="false" ht="18" hidden="false" customHeight="true" outlineLevel="0" collapsed="false">
      <c r="A17" s="12"/>
      <c r="B17" s="18"/>
      <c r="C17" s="18"/>
      <c r="D17" s="18"/>
      <c r="E17" s="18"/>
      <c r="F17" s="18"/>
      <c r="G17" s="18"/>
      <c r="H17" s="17"/>
    </row>
    <row r="18" customFormat="false" ht="18" hidden="false" customHeight="true" outlineLevel="0" collapsed="false">
      <c r="A18" s="19" t="s">
        <v>102</v>
      </c>
      <c r="B18" s="19"/>
      <c r="C18" s="19"/>
      <c r="D18" s="19"/>
      <c r="E18" s="19"/>
      <c r="F18" s="19"/>
      <c r="G18" s="19"/>
      <c r="H18" s="19"/>
    </row>
    <row r="19" customFormat="false" ht="18" hidden="false" customHeight="true" outlineLevel="0" collapsed="false">
      <c r="A19" s="12" t="s">
        <v>103</v>
      </c>
      <c r="B19" s="18"/>
      <c r="C19" s="18"/>
      <c r="D19" s="18"/>
      <c r="E19" s="18"/>
      <c r="F19" s="18"/>
      <c r="G19" s="18"/>
      <c r="H19" s="17"/>
    </row>
    <row r="20" customFormat="false" ht="16.4" hidden="false" customHeight="false" outlineLevel="0" collapsed="false">
      <c r="A20" s="12" t="s">
        <v>104</v>
      </c>
      <c r="B20" s="18"/>
      <c r="C20" s="18"/>
      <c r="D20" s="18"/>
      <c r="E20" s="18"/>
      <c r="F20" s="18"/>
      <c r="G20" s="18"/>
      <c r="H20" s="17"/>
    </row>
    <row r="21" customFormat="false" ht="16.4" hidden="false" customHeight="false" outlineLevel="0" collapsed="false">
      <c r="A21" s="12" t="s">
        <v>105</v>
      </c>
      <c r="B21" s="20"/>
      <c r="C21" s="20"/>
      <c r="D21" s="20"/>
      <c r="E21" s="20"/>
      <c r="F21" s="20"/>
      <c r="G21" s="21"/>
      <c r="H21" s="17"/>
    </row>
    <row r="22" customFormat="false" ht="16.4" hidden="false" customHeight="false" outlineLevel="0" collapsed="false">
      <c r="A22" s="12" t="s">
        <v>106</v>
      </c>
      <c r="B22" s="20"/>
      <c r="C22" s="20"/>
      <c r="D22" s="20"/>
      <c r="E22" s="20"/>
      <c r="F22" s="20"/>
      <c r="G22" s="21"/>
      <c r="H22" s="17"/>
    </row>
    <row r="23" customFormat="false" ht="15" hidden="false" customHeight="false" outlineLevel="0" collapsed="false">
      <c r="A23" s="12"/>
      <c r="B23" s="13"/>
      <c r="C23" s="13"/>
      <c r="D23" s="18"/>
      <c r="E23" s="18"/>
      <c r="F23" s="18"/>
      <c r="G23" s="18"/>
      <c r="H23" s="17"/>
    </row>
    <row r="24" customFormat="false" ht="16.4" hidden="false" customHeight="false" outlineLevel="0" collapsed="false">
      <c r="A24" s="12"/>
      <c r="B24" s="13"/>
      <c r="C24" s="13"/>
      <c r="D24" s="20"/>
      <c r="E24" s="20"/>
      <c r="F24" s="20"/>
      <c r="G24" s="21"/>
      <c r="H24" s="17"/>
    </row>
    <row r="25" customFormat="false" ht="15" hidden="false" customHeight="false" outlineLevel="0" collapsed="false">
      <c r="A25" s="12"/>
      <c r="B25" s="13"/>
      <c r="C25" s="13"/>
      <c r="D25" s="14"/>
      <c r="E25" s="13"/>
      <c r="F25" s="15"/>
      <c r="G25" s="16"/>
      <c r="H25" s="17"/>
    </row>
    <row r="26" customFormat="false" ht="15" hidden="false" customHeight="false" outlineLevel="0" collapsed="false">
      <c r="A26" s="12"/>
      <c r="B26" s="13"/>
      <c r="C26" s="13"/>
      <c r="D26" s="14"/>
      <c r="E26" s="13"/>
      <c r="F26" s="15"/>
      <c r="G26" s="16"/>
      <c r="H26" s="17"/>
    </row>
    <row r="27" customFormat="false" ht="15" hidden="false" customHeight="false" outlineLevel="0" collapsed="false">
      <c r="A27" s="12"/>
      <c r="B27" s="13"/>
      <c r="C27" s="13"/>
      <c r="D27" s="14"/>
      <c r="E27" s="13"/>
      <c r="F27" s="15"/>
      <c r="G27" s="16"/>
      <c r="H27" s="17"/>
    </row>
    <row r="28" customFormat="false" ht="15" hidden="false" customHeight="false" outlineLevel="0" collapsed="false">
      <c r="A28" s="12"/>
      <c r="B28" s="13"/>
      <c r="C28" s="13"/>
      <c r="D28" s="14"/>
      <c r="E28" s="13"/>
      <c r="F28" s="15"/>
      <c r="G28" s="16"/>
      <c r="H28" s="17"/>
    </row>
    <row r="29" customFormat="false" ht="15" hidden="false" customHeight="false" outlineLevel="0" collapsed="false">
      <c r="A29" s="12"/>
      <c r="B29" s="13"/>
      <c r="C29" s="13"/>
      <c r="D29" s="14"/>
      <c r="E29" s="13"/>
      <c r="F29" s="15"/>
      <c r="G29" s="16"/>
      <c r="H29" s="17"/>
    </row>
    <row r="30" customFormat="false" ht="15" hidden="false" customHeight="false" outlineLevel="0" collapsed="false">
      <c r="A30" s="12"/>
      <c r="B30" s="13"/>
      <c r="C30" s="13"/>
      <c r="D30" s="14"/>
      <c r="E30" s="13"/>
      <c r="F30" s="15"/>
      <c r="G30" s="16"/>
      <c r="H30" s="17"/>
    </row>
    <row r="31" customFormat="false" ht="15" hidden="false" customHeight="false" outlineLevel="0" collapsed="false">
      <c r="A31" s="12"/>
      <c r="B31" s="13"/>
      <c r="C31" s="13"/>
      <c r="D31" s="14"/>
      <c r="E31" s="13"/>
      <c r="F31" s="15"/>
      <c r="G31" s="16"/>
      <c r="H31" s="17"/>
    </row>
    <row r="32" customFormat="false" ht="15" hidden="false" customHeight="false" outlineLevel="0" collapsed="false">
      <c r="A32" s="12"/>
      <c r="B32" s="13"/>
      <c r="C32" s="13"/>
      <c r="D32" s="14"/>
      <c r="E32" s="13"/>
      <c r="F32" s="15"/>
      <c r="G32" s="16"/>
      <c r="H32" s="17"/>
    </row>
    <row r="33" customFormat="false" ht="15" hidden="false" customHeight="false" outlineLevel="0" collapsed="false">
      <c r="A33" s="12"/>
      <c r="B33" s="13"/>
      <c r="C33" s="13"/>
      <c r="D33" s="14"/>
      <c r="E33" s="13"/>
      <c r="F33" s="15"/>
      <c r="G33" s="16"/>
      <c r="H33" s="17"/>
    </row>
    <row r="34" customFormat="false" ht="15" hidden="false" customHeight="false" outlineLevel="0" collapsed="false">
      <c r="A34" s="12"/>
      <c r="B34" s="13"/>
      <c r="C34" s="13"/>
      <c r="D34" s="14"/>
      <c r="E34" s="13"/>
      <c r="F34" s="15"/>
      <c r="G34" s="16"/>
      <c r="H34" s="17"/>
    </row>
    <row r="35" customFormat="false" ht="15" hidden="false" customHeight="false" outlineLevel="0" collapsed="false">
      <c r="A35" s="12"/>
      <c r="B35" s="13"/>
      <c r="C35" s="13"/>
      <c r="D35" s="14"/>
      <c r="E35" s="13"/>
      <c r="F35" s="15"/>
      <c r="G35" s="16"/>
      <c r="H35" s="17"/>
    </row>
    <row r="36" customFormat="false" ht="15" hidden="false" customHeight="false" outlineLevel="0" collapsed="false">
      <c r="A36" s="12"/>
      <c r="B36" s="13"/>
      <c r="C36" s="13"/>
      <c r="D36" s="14"/>
      <c r="E36" s="13"/>
      <c r="F36" s="15"/>
      <c r="G36" s="16"/>
      <c r="H36" s="17"/>
    </row>
    <row r="37" customFormat="false" ht="15" hidden="false" customHeight="false" outlineLevel="0" collapsed="false">
      <c r="A37" s="12"/>
      <c r="B37" s="13"/>
      <c r="C37" s="13"/>
      <c r="D37" s="14"/>
      <c r="E37" s="13"/>
      <c r="F37" s="15"/>
      <c r="G37" s="16"/>
      <c r="H37" s="17"/>
    </row>
    <row r="38" customFormat="false" ht="15" hidden="false" customHeight="false" outlineLevel="0" collapsed="false">
      <c r="A38" s="12"/>
      <c r="B38" s="13"/>
      <c r="C38" s="13"/>
      <c r="D38" s="14"/>
      <c r="E38" s="13"/>
      <c r="F38" s="15"/>
      <c r="G38" s="16"/>
      <c r="H38" s="17"/>
    </row>
    <row r="39" customFormat="false" ht="15" hidden="false" customHeight="false" outlineLevel="0" collapsed="false">
      <c r="A39" s="12"/>
      <c r="B39" s="13"/>
      <c r="C39" s="13"/>
      <c r="D39" s="14"/>
      <c r="E39" s="13"/>
      <c r="F39" s="15"/>
      <c r="G39" s="16"/>
      <c r="H39" s="17"/>
    </row>
    <row r="40" customFormat="false" ht="15" hidden="false" customHeight="false" outlineLevel="0" collapsed="false">
      <c r="A40" s="12"/>
      <c r="B40" s="13"/>
      <c r="C40" s="13"/>
      <c r="D40" s="14"/>
      <c r="E40" s="13"/>
      <c r="F40" s="15"/>
      <c r="G40" s="16"/>
      <c r="H40" s="17"/>
    </row>
    <row r="41" customFormat="false" ht="15" hidden="false" customHeight="false" outlineLevel="0" collapsed="false">
      <c r="A41" s="12"/>
      <c r="B41" s="13"/>
      <c r="C41" s="13"/>
      <c r="D41" s="14"/>
      <c r="E41" s="13"/>
      <c r="F41" s="15"/>
      <c r="G41" s="16"/>
      <c r="H41" s="17"/>
    </row>
    <row r="42" customFormat="false" ht="15" hidden="false" customHeight="false" outlineLevel="0" collapsed="false">
      <c r="A42" s="12"/>
      <c r="B42" s="13"/>
      <c r="C42" s="13"/>
      <c r="D42" s="14"/>
      <c r="E42" s="13"/>
      <c r="F42" s="15"/>
      <c r="G42" s="16"/>
      <c r="H42" s="17"/>
    </row>
    <row r="43" customFormat="false" ht="15" hidden="false" customHeight="false" outlineLevel="0" collapsed="false">
      <c r="A43" s="12"/>
      <c r="B43" s="13"/>
      <c r="C43" s="13"/>
      <c r="D43" s="14"/>
      <c r="E43" s="13"/>
      <c r="F43" s="15"/>
      <c r="G43" s="16"/>
      <c r="H43" s="17"/>
    </row>
    <row r="44" customFormat="false" ht="15" hidden="false" customHeight="false" outlineLevel="0" collapsed="false">
      <c r="A44" s="12"/>
      <c r="B44" s="13"/>
      <c r="C44" s="13"/>
      <c r="D44" s="14"/>
      <c r="E44" s="13"/>
      <c r="F44" s="15"/>
      <c r="G44" s="16"/>
      <c r="H44" s="17"/>
    </row>
    <row r="45" customFormat="false" ht="15" hidden="false" customHeight="false" outlineLevel="0" collapsed="false">
      <c r="A45" s="12"/>
      <c r="B45" s="13"/>
      <c r="C45" s="13"/>
      <c r="D45" s="14"/>
      <c r="E45" s="13"/>
      <c r="F45" s="15"/>
      <c r="G45" s="16"/>
      <c r="H45" s="17"/>
    </row>
    <row r="46" customFormat="false" ht="15" hidden="false" customHeight="false" outlineLevel="0" collapsed="false">
      <c r="A46" s="12"/>
      <c r="B46" s="13"/>
      <c r="C46" s="13"/>
      <c r="D46" s="14"/>
      <c r="E46" s="13"/>
      <c r="F46" s="15"/>
      <c r="G46" s="16"/>
      <c r="H46" s="17"/>
    </row>
    <row r="47" customFormat="false" ht="15" hidden="false" customHeight="false" outlineLevel="0" collapsed="false">
      <c r="A47" s="12"/>
      <c r="B47" s="13"/>
      <c r="C47" s="13"/>
      <c r="D47" s="14"/>
      <c r="E47" s="13"/>
      <c r="F47" s="15"/>
      <c r="G47" s="16"/>
      <c r="H47" s="17"/>
    </row>
    <row r="48" customFormat="false" ht="15" hidden="false" customHeight="false" outlineLevel="0" collapsed="false">
      <c r="A48" s="12"/>
      <c r="B48" s="13"/>
      <c r="C48" s="13"/>
      <c r="D48" s="14"/>
      <c r="E48" s="13"/>
      <c r="F48" s="15"/>
      <c r="G48" s="16"/>
      <c r="H48" s="17"/>
    </row>
    <row r="49" customFormat="false" ht="15" hidden="false" customHeight="false" outlineLevel="0" collapsed="false">
      <c r="A49" s="12"/>
      <c r="B49" s="13"/>
      <c r="C49" s="13"/>
      <c r="D49" s="14"/>
      <c r="E49" s="13"/>
      <c r="F49" s="15"/>
      <c r="G49" s="16"/>
      <c r="H49" s="17"/>
    </row>
    <row r="50" customFormat="false" ht="15" hidden="false" customHeight="false" outlineLevel="0" collapsed="false">
      <c r="A50" s="12"/>
      <c r="B50" s="13"/>
      <c r="C50" s="13"/>
      <c r="D50" s="14"/>
      <c r="E50" s="13"/>
      <c r="F50" s="15"/>
      <c r="G50" s="16"/>
      <c r="H50" s="17"/>
    </row>
    <row r="51" customFormat="false" ht="15" hidden="false" customHeight="false" outlineLevel="0" collapsed="false">
      <c r="A51" s="12"/>
      <c r="B51" s="13"/>
      <c r="C51" s="13"/>
      <c r="D51" s="14"/>
      <c r="E51" s="13"/>
      <c r="F51" s="15"/>
      <c r="G51" s="16"/>
      <c r="H51" s="17"/>
    </row>
    <row r="52" customFormat="false" ht="15" hidden="false" customHeight="false" outlineLevel="0" collapsed="false">
      <c r="A52" s="12"/>
      <c r="B52" s="13"/>
      <c r="C52" s="13"/>
      <c r="D52" s="14"/>
      <c r="E52" s="13"/>
      <c r="F52" s="15"/>
      <c r="G52" s="16"/>
      <c r="H52" s="17"/>
    </row>
    <row r="53" customFormat="false" ht="15" hidden="false" customHeight="false" outlineLevel="0" collapsed="false">
      <c r="A53" s="12"/>
      <c r="B53" s="13"/>
      <c r="C53" s="13"/>
      <c r="D53" s="14"/>
      <c r="E53" s="13"/>
      <c r="F53" s="15"/>
      <c r="G53" s="16"/>
      <c r="H53" s="17"/>
    </row>
    <row r="54" customFormat="false" ht="15" hidden="false" customHeight="false" outlineLevel="0" collapsed="false">
      <c r="A54" s="12"/>
      <c r="B54" s="13"/>
      <c r="C54" s="13"/>
      <c r="D54" s="14"/>
      <c r="E54" s="13"/>
      <c r="F54" s="15"/>
      <c r="G54" s="16"/>
      <c r="H54" s="17"/>
    </row>
    <row r="55" customFormat="false" ht="15" hidden="false" customHeight="false" outlineLevel="0" collapsed="false">
      <c r="A55" s="12"/>
      <c r="B55" s="13"/>
      <c r="C55" s="13"/>
      <c r="D55" s="14"/>
      <c r="E55" s="13"/>
      <c r="F55" s="15"/>
      <c r="G55" s="16"/>
      <c r="H55" s="17"/>
    </row>
    <row r="56" customFormat="false" ht="15" hidden="false" customHeight="false" outlineLevel="0" collapsed="false">
      <c r="A56" s="12"/>
      <c r="B56" s="13"/>
      <c r="C56" s="13"/>
      <c r="D56" s="14"/>
      <c r="E56" s="13"/>
      <c r="F56" s="15"/>
      <c r="G56" s="16"/>
      <c r="H56" s="17"/>
    </row>
    <row r="57" customFormat="false" ht="15" hidden="false" customHeight="false" outlineLevel="0" collapsed="false">
      <c r="A57" s="12"/>
      <c r="B57" s="13"/>
      <c r="C57" s="13"/>
      <c r="D57" s="14"/>
      <c r="E57" s="13"/>
      <c r="F57" s="15"/>
      <c r="G57" s="16"/>
      <c r="H57" s="17"/>
    </row>
    <row r="58" customFormat="false" ht="15" hidden="false" customHeight="false" outlineLevel="0" collapsed="false">
      <c r="A58" s="12"/>
      <c r="B58" s="13"/>
      <c r="C58" s="13"/>
      <c r="D58" s="14"/>
      <c r="E58" s="13"/>
      <c r="F58" s="15"/>
      <c r="G58" s="16"/>
      <c r="H58" s="17"/>
    </row>
    <row r="59" customFormat="false" ht="15" hidden="false" customHeight="false" outlineLevel="0" collapsed="false">
      <c r="A59" s="12"/>
      <c r="B59" s="13"/>
      <c r="C59" s="13"/>
      <c r="D59" s="14"/>
      <c r="E59" s="13"/>
      <c r="F59" s="15"/>
      <c r="G59" s="16"/>
      <c r="H59" s="17"/>
    </row>
    <row r="60" customFormat="false" ht="15" hidden="false" customHeight="false" outlineLevel="0" collapsed="false">
      <c r="A60" s="12"/>
      <c r="B60" s="13"/>
      <c r="C60" s="13"/>
      <c r="D60" s="14"/>
      <c r="E60" s="13"/>
      <c r="F60" s="15"/>
      <c r="G60" s="16"/>
      <c r="H60" s="17"/>
    </row>
    <row r="61" customFormat="false" ht="15" hidden="false" customHeight="false" outlineLevel="0" collapsed="false">
      <c r="A61" s="12"/>
      <c r="B61" s="13"/>
      <c r="C61" s="13"/>
      <c r="D61" s="14"/>
      <c r="E61" s="13"/>
      <c r="F61" s="15"/>
      <c r="G61" s="16"/>
      <c r="H61" s="17"/>
    </row>
    <row r="62" customFormat="false" ht="15" hidden="false" customHeight="false" outlineLevel="0" collapsed="false">
      <c r="A62" s="12"/>
      <c r="B62" s="13"/>
      <c r="C62" s="13"/>
      <c r="D62" s="14"/>
      <c r="E62" s="13"/>
      <c r="F62" s="15"/>
      <c r="G62" s="16"/>
      <c r="H62" s="17"/>
    </row>
    <row r="63" customFormat="false" ht="15" hidden="false" customHeight="false" outlineLevel="0" collapsed="false">
      <c r="A63" s="12"/>
      <c r="B63" s="13"/>
      <c r="C63" s="13"/>
      <c r="D63" s="14"/>
      <c r="E63" s="13"/>
      <c r="F63" s="15"/>
      <c r="G63" s="16"/>
      <c r="H63" s="17"/>
    </row>
    <row r="64" customFormat="false" ht="15" hidden="false" customHeight="false" outlineLevel="0" collapsed="false">
      <c r="A64" s="12"/>
      <c r="B64" s="13"/>
      <c r="C64" s="13"/>
      <c r="D64" s="14"/>
      <c r="E64" s="13"/>
      <c r="F64" s="15"/>
      <c r="G64" s="16"/>
      <c r="H64" s="17"/>
    </row>
    <row r="65" customFormat="false" ht="15" hidden="false" customHeight="false" outlineLevel="0" collapsed="false">
      <c r="A65" s="12"/>
      <c r="B65" s="22"/>
      <c r="C65" s="22"/>
      <c r="D65" s="14"/>
      <c r="E65" s="22"/>
      <c r="F65" s="17"/>
      <c r="G65" s="23"/>
      <c r="H65" s="17"/>
    </row>
  </sheetData>
  <sheetProtection sheet="true" formatCells="false"/>
  <autoFilter ref="A3:H164"/>
  <mergeCells count="2">
    <mergeCell ref="A1:G1"/>
    <mergeCell ref="A18:H18"/>
  </mergeCells>
  <conditionalFormatting sqref="A4:G64">
    <cfRule type="cellIs" priority="2" operator="equal" aboveAverage="0" equalAverage="0" bottom="0" percent="0" rank="0" text="" dxfId="8">
      <formula>"A"</formula>
    </cfRule>
    <cfRule type="expression" priority="3" aboveAverage="0" equalAverage="0" bottom="0" percent="0" rank="0" text="" dxfId="8">
      <formula>$F4="A"</formula>
    </cfRule>
    <cfRule type="expression" priority="4" aboveAverage="0" equalAverage="0" bottom="0" percent="0" rank="0" text="" dxfId="9">
      <formula>$F4="B"</formula>
    </cfRule>
    <cfRule type="expression" priority="5" aboveAverage="0" equalAverage="0" bottom="0" percent="0" rank="0" text="" dxfId="10">
      <formula>$F4="C"</formula>
    </cfRule>
  </conditionalFormatting>
  <dataValidations count="3">
    <dataValidation allowBlank="true" errorStyle="stop" operator="between" showDropDown="false" showErrorMessage="false" showInputMessage="false" sqref="F4:F164" type="list">
      <formula1>"A,B,C,—"</formula1>
      <formula2>0</formula2>
    </dataValidation>
    <dataValidation allowBlank="true" errorStyle="stop" operator="between" showDropDown="false" showErrorMessage="false" showInputMessage="false" sqref="E4:E164" type="list">
      <formula1>"SDD,Accredito,Bancomat,CC moglie,Contanti,Buoni pasto,Gift card,Altro"</formula1>
      <formula2>0</formula2>
    </dataValidation>
    <dataValidation allowBlank="true" errorStyle="stop" operator="between" showDropDown="false" showErrorMessage="false" showInputMessage="false" sqref="H4:H164" type="list">
      <formula1>"Sì,No"</formula1>
      <formula2>0</formula2>
    </dataValidation>
  </dataValidations>
  <printOptions headings="false" gridLines="tru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E16" activeCellId="0" sqref="E16"/>
    </sheetView>
  </sheetViews>
  <sheetFormatPr defaultColWidth="9.7578125" defaultRowHeight="15" customHeight="true" zeroHeight="false" outlineLevelRow="0" outlineLevelCol="0"/>
  <cols>
    <col collapsed="false" customWidth="true" hidden="false" outlineLevel="0" max="1" min="1" style="0" width="13.62"/>
    <col collapsed="false" customWidth="true" hidden="false" outlineLevel="0" max="2" min="2" style="0" width="15.89"/>
    <col collapsed="false" customWidth="true" hidden="false" outlineLevel="0" max="3" min="3" style="0" width="43.14"/>
    <col collapsed="false" customWidth="true" hidden="false" outlineLevel="0" max="5" min="4" style="0" width="15.89"/>
    <col collapsed="false" customWidth="true" hidden="false" outlineLevel="0" max="6" min="6" style="0" width="9.08"/>
    <col collapsed="false" customWidth="true" hidden="false" outlineLevel="0" max="7" min="7" style="0" width="45.41"/>
    <col collapsed="false" customWidth="true" hidden="false" outlineLevel="0" max="8" min="8" style="0" width="11.35"/>
    <col collapsed="false" customWidth="true" hidden="false" outlineLevel="0" max="10" min="10" style="0" width="20.43"/>
    <col collapsed="false" customWidth="true" hidden="false" outlineLevel="0" max="11" min="11" style="0" width="18.16"/>
  </cols>
  <sheetData>
    <row r="1" customFormat="false" ht="27.75" hidden="false" customHeight="true" outlineLevel="0" collapsed="false">
      <c r="A1" s="9" t="s">
        <v>116</v>
      </c>
      <c r="B1" s="9"/>
      <c r="C1" s="9"/>
      <c r="D1" s="9"/>
      <c r="E1" s="9"/>
      <c r="F1" s="9"/>
      <c r="G1" s="9"/>
    </row>
    <row r="2" customFormat="false" ht="15" hidden="false" customHeight="false" outlineLevel="0" collapsed="false">
      <c r="F2" s="10" t="s">
        <v>63</v>
      </c>
      <c r="G2" s="4" t="n">
        <f aca="false">SUMIF($A:$A,"&lt;&gt;",$D:$D)</f>
        <v>-182</v>
      </c>
      <c r="J2" s="10" t="s">
        <v>64</v>
      </c>
      <c r="K2" s="4" t="n">
        <f aca="false">SUMIF($A:$A,"&lt;&gt;",$D:$D)</f>
        <v>-182</v>
      </c>
    </row>
    <row r="3" customFormat="false" ht="24" hidden="false" customHeight="true" outlineLevel="0" collapsed="false">
      <c r="A3" s="11" t="s">
        <v>65</v>
      </c>
      <c r="B3" s="11" t="s">
        <v>66</v>
      </c>
      <c r="C3" s="11" t="s">
        <v>67</v>
      </c>
      <c r="D3" s="11" t="s">
        <v>68</v>
      </c>
      <c r="E3" s="11" t="s">
        <v>69</v>
      </c>
      <c r="F3" s="11" t="s">
        <v>17</v>
      </c>
      <c r="G3" s="11" t="s">
        <v>70</v>
      </c>
      <c r="H3" s="11" t="s">
        <v>30</v>
      </c>
      <c r="J3" s="10" t="s">
        <v>71</v>
      </c>
      <c r="K3" s="4" t="n">
        <f aca="false">'06-Jun'!$K$3+$K$2</f>
        <v>1052.45</v>
      </c>
    </row>
    <row r="4" customFormat="false" ht="18" hidden="false" customHeight="true" outlineLevel="0" collapsed="false">
      <c r="A4" s="12" t="n">
        <v>46204</v>
      </c>
      <c r="B4" s="13" t="s">
        <v>72</v>
      </c>
      <c r="C4" s="13" t="s">
        <v>73</v>
      </c>
      <c r="D4" s="14" t="n">
        <v>-742</v>
      </c>
      <c r="E4" s="13" t="s">
        <v>74</v>
      </c>
      <c r="F4" s="15" t="s">
        <v>19</v>
      </c>
      <c r="G4" s="16" t="s">
        <v>75</v>
      </c>
      <c r="H4" s="17"/>
    </row>
    <row r="5" customFormat="false" ht="18" hidden="false" customHeight="true" outlineLevel="0" collapsed="false">
      <c r="A5" s="12" t="n">
        <v>46204</v>
      </c>
      <c r="B5" s="13" t="s">
        <v>76</v>
      </c>
      <c r="C5" s="13" t="s">
        <v>77</v>
      </c>
      <c r="D5" s="14" t="n">
        <v>-38</v>
      </c>
      <c r="E5" s="13" t="s">
        <v>74</v>
      </c>
      <c r="F5" s="15" t="s">
        <v>21</v>
      </c>
      <c r="G5" s="16" t="s">
        <v>78</v>
      </c>
      <c r="H5" s="17"/>
    </row>
    <row r="6" customFormat="false" ht="18" hidden="false" customHeight="true" outlineLevel="0" collapsed="false">
      <c r="A6" s="12" t="n">
        <v>46204</v>
      </c>
      <c r="B6" s="13" t="s">
        <v>79</v>
      </c>
      <c r="C6" s="13" t="s">
        <v>80</v>
      </c>
      <c r="D6" s="14" t="n">
        <v>-154</v>
      </c>
      <c r="E6" s="13" t="s">
        <v>74</v>
      </c>
      <c r="F6" s="15" t="s">
        <v>21</v>
      </c>
      <c r="G6" s="16" t="s">
        <v>81</v>
      </c>
      <c r="H6" s="17"/>
    </row>
    <row r="7" customFormat="false" ht="18" hidden="false" customHeight="true" outlineLevel="0" collapsed="false">
      <c r="A7" s="12" t="n">
        <v>46207</v>
      </c>
      <c r="B7" s="13" t="s">
        <v>86</v>
      </c>
      <c r="C7" s="13" t="s">
        <v>40</v>
      </c>
      <c r="D7" s="14" t="n">
        <v>-170</v>
      </c>
      <c r="E7" s="13" t="s">
        <v>84</v>
      </c>
      <c r="F7" s="15" t="s">
        <v>21</v>
      </c>
      <c r="G7" s="16"/>
      <c r="H7" s="17"/>
    </row>
    <row r="8" customFormat="false" ht="18" hidden="false" customHeight="true" outlineLevel="0" collapsed="false">
      <c r="A8" s="12" t="n">
        <v>46214</v>
      </c>
      <c r="B8" s="13" t="s">
        <v>86</v>
      </c>
      <c r="C8" s="13" t="s">
        <v>40</v>
      </c>
      <c r="D8" s="14" t="n">
        <v>-170</v>
      </c>
      <c r="E8" s="13" t="s">
        <v>84</v>
      </c>
      <c r="F8" s="15" t="s">
        <v>21</v>
      </c>
      <c r="G8" s="16"/>
      <c r="H8" s="17"/>
    </row>
    <row r="9" customFormat="false" ht="18" hidden="false" customHeight="true" outlineLevel="0" collapsed="false">
      <c r="A9" s="12" t="n">
        <v>46218</v>
      </c>
      <c r="B9" s="13" t="s">
        <v>72</v>
      </c>
      <c r="C9" s="13" t="s">
        <v>87</v>
      </c>
      <c r="D9" s="14" t="n">
        <v>-218</v>
      </c>
      <c r="E9" s="13" t="s">
        <v>74</v>
      </c>
      <c r="F9" s="15" t="s">
        <v>19</v>
      </c>
      <c r="G9" s="16" t="s">
        <v>88</v>
      </c>
      <c r="H9" s="17"/>
    </row>
    <row r="10" customFormat="false" ht="18" hidden="false" customHeight="true" outlineLevel="0" collapsed="false">
      <c r="A10" s="12" t="n">
        <v>46218</v>
      </c>
      <c r="B10" s="13" t="s">
        <v>72</v>
      </c>
      <c r="C10" s="13" t="s">
        <v>89</v>
      </c>
      <c r="D10" s="14" t="n">
        <v>-545</v>
      </c>
      <c r="E10" s="13" t="s">
        <v>74</v>
      </c>
      <c r="F10" s="15" t="s">
        <v>19</v>
      </c>
      <c r="G10" s="16" t="s">
        <v>90</v>
      </c>
      <c r="H10" s="17"/>
    </row>
    <row r="11" customFormat="false" ht="18" hidden="false" customHeight="true" outlineLevel="0" collapsed="false">
      <c r="A11" s="12" t="n">
        <v>46218</v>
      </c>
      <c r="B11" s="13" t="s">
        <v>91</v>
      </c>
      <c r="C11" s="13" t="s">
        <v>92</v>
      </c>
      <c r="D11" s="14" t="n">
        <v>-31</v>
      </c>
      <c r="E11" s="13" t="s">
        <v>74</v>
      </c>
      <c r="F11" s="15" t="s">
        <v>21</v>
      </c>
      <c r="G11" s="16" t="s">
        <v>93</v>
      </c>
      <c r="H11" s="17"/>
    </row>
    <row r="12" customFormat="false" ht="18" hidden="false" customHeight="true" outlineLevel="0" collapsed="false">
      <c r="A12" s="12" t="n">
        <v>46218</v>
      </c>
      <c r="B12" s="13" t="s">
        <v>91</v>
      </c>
      <c r="C12" s="13" t="s">
        <v>94</v>
      </c>
      <c r="D12" s="14" t="n">
        <v>-14</v>
      </c>
      <c r="E12" s="13" t="s">
        <v>74</v>
      </c>
      <c r="F12" s="15" t="s">
        <v>21</v>
      </c>
      <c r="G12" s="16" t="s">
        <v>93</v>
      </c>
      <c r="H12" s="17"/>
    </row>
    <row r="13" customFormat="false" ht="18" hidden="false" customHeight="true" outlineLevel="0" collapsed="false">
      <c r="A13" s="12" t="n">
        <v>46218</v>
      </c>
      <c r="B13" s="13" t="s">
        <v>91</v>
      </c>
      <c r="C13" s="13" t="s">
        <v>95</v>
      </c>
      <c r="D13" s="14" t="n">
        <v>-120</v>
      </c>
      <c r="E13" s="13" t="s">
        <v>74</v>
      </c>
      <c r="F13" s="15" t="s">
        <v>21</v>
      </c>
      <c r="G13" s="16" t="s">
        <v>96</v>
      </c>
      <c r="H13" s="17"/>
    </row>
    <row r="14" customFormat="false" ht="18" hidden="false" customHeight="true" outlineLevel="0" collapsed="false">
      <c r="A14" s="12" t="n">
        <v>46218</v>
      </c>
      <c r="B14" s="13" t="s">
        <v>91</v>
      </c>
      <c r="C14" s="13" t="s">
        <v>97</v>
      </c>
      <c r="D14" s="14" t="n">
        <v>-20</v>
      </c>
      <c r="E14" s="13" t="s">
        <v>74</v>
      </c>
      <c r="F14" s="15" t="s">
        <v>21</v>
      </c>
      <c r="G14" s="16" t="s">
        <v>96</v>
      </c>
      <c r="H14" s="17"/>
    </row>
    <row r="15" customFormat="false" ht="19.5" hidden="false" customHeight="true" outlineLevel="0" collapsed="false">
      <c r="A15" s="12" t="n">
        <v>46221</v>
      </c>
      <c r="B15" s="13" t="s">
        <v>86</v>
      </c>
      <c r="C15" s="13" t="s">
        <v>40</v>
      </c>
      <c r="D15" s="14" t="n">
        <v>-170</v>
      </c>
      <c r="E15" s="13" t="s">
        <v>84</v>
      </c>
      <c r="F15" s="15" t="s">
        <v>21</v>
      </c>
      <c r="G15" s="16"/>
      <c r="H15" s="17"/>
    </row>
    <row r="16" customFormat="false" ht="18" hidden="false" customHeight="true" outlineLevel="0" collapsed="false">
      <c r="A16" s="12" t="n">
        <v>46228</v>
      </c>
      <c r="B16" s="13" t="s">
        <v>86</v>
      </c>
      <c r="C16" s="13" t="s">
        <v>40</v>
      </c>
      <c r="D16" s="14" t="n">
        <v>-170</v>
      </c>
      <c r="E16" s="13" t="s">
        <v>84</v>
      </c>
      <c r="F16" s="15" t="s">
        <v>21</v>
      </c>
      <c r="G16" s="16"/>
      <c r="H16" s="17"/>
    </row>
    <row r="17" customFormat="false" ht="18" hidden="false" customHeight="true" outlineLevel="0" collapsed="false">
      <c r="A17" s="12" t="n">
        <v>46230</v>
      </c>
      <c r="B17" s="13" t="s">
        <v>98</v>
      </c>
      <c r="C17" s="13" t="s">
        <v>99</v>
      </c>
      <c r="D17" s="14" t="n">
        <v>2380</v>
      </c>
      <c r="E17" s="13" t="s">
        <v>100</v>
      </c>
      <c r="F17" s="15" t="s">
        <v>19</v>
      </c>
      <c r="G17" s="16"/>
      <c r="H17" s="17"/>
    </row>
    <row r="18" customFormat="false" ht="18" hidden="false" customHeight="true" outlineLevel="0" collapsed="false">
      <c r="A18" s="12"/>
      <c r="B18" s="18"/>
      <c r="C18" s="18"/>
      <c r="D18" s="18"/>
      <c r="E18" s="18"/>
      <c r="F18" s="18"/>
      <c r="G18" s="18"/>
      <c r="H18" s="17"/>
    </row>
    <row r="19" customFormat="false" ht="18" hidden="false" customHeight="true" outlineLevel="0" collapsed="false">
      <c r="A19" s="19" t="s">
        <v>102</v>
      </c>
      <c r="B19" s="19"/>
      <c r="C19" s="19"/>
      <c r="D19" s="19"/>
      <c r="E19" s="19"/>
      <c r="F19" s="19"/>
      <c r="G19" s="19"/>
      <c r="H19" s="19"/>
    </row>
    <row r="20" customFormat="false" ht="16.4" hidden="false" customHeight="false" outlineLevel="0" collapsed="false">
      <c r="A20" s="12" t="s">
        <v>103</v>
      </c>
      <c r="B20" s="18"/>
      <c r="C20" s="18"/>
      <c r="D20" s="18"/>
      <c r="E20" s="18"/>
      <c r="F20" s="18"/>
      <c r="G20" s="18"/>
      <c r="H20" s="17"/>
    </row>
    <row r="21" customFormat="false" ht="16.4" hidden="false" customHeight="false" outlineLevel="0" collapsed="false">
      <c r="A21" s="12" t="s">
        <v>104</v>
      </c>
      <c r="B21" s="20"/>
      <c r="C21" s="21"/>
      <c r="D21" s="20"/>
      <c r="E21" s="20"/>
      <c r="F21" s="20"/>
      <c r="G21" s="21"/>
      <c r="H21" s="17"/>
    </row>
    <row r="22" customFormat="false" ht="16.4" hidden="false" customHeight="false" outlineLevel="0" collapsed="false">
      <c r="A22" s="12" t="s">
        <v>105</v>
      </c>
      <c r="B22" s="20"/>
      <c r="C22" s="20"/>
      <c r="D22" s="20"/>
      <c r="E22" s="20"/>
      <c r="F22" s="20"/>
      <c r="G22" s="21"/>
      <c r="H22" s="17"/>
    </row>
    <row r="23" customFormat="false" ht="16.4" hidden="false" customHeight="false" outlineLevel="0" collapsed="false">
      <c r="A23" s="12" t="s">
        <v>106</v>
      </c>
      <c r="B23" s="20"/>
      <c r="C23" s="21"/>
      <c r="D23" s="18"/>
      <c r="E23" s="18"/>
      <c r="F23" s="18"/>
      <c r="G23" s="18"/>
      <c r="H23" s="17"/>
    </row>
    <row r="24" customFormat="false" ht="15" hidden="false" customHeight="false" outlineLevel="0" collapsed="false">
      <c r="A24" s="12"/>
      <c r="B24" s="13"/>
      <c r="C24" s="13"/>
      <c r="D24" s="14"/>
      <c r="E24" s="13"/>
      <c r="F24" s="15"/>
      <c r="G24" s="16"/>
      <c r="H24" s="17"/>
    </row>
    <row r="25" customFormat="false" ht="16.4" hidden="false" customHeight="false" outlineLevel="0" collapsed="false">
      <c r="A25" s="12"/>
      <c r="B25" s="13"/>
      <c r="C25" s="13"/>
      <c r="D25" s="20"/>
      <c r="E25" s="20"/>
      <c r="F25" s="20"/>
      <c r="G25" s="21"/>
      <c r="H25" s="17"/>
    </row>
    <row r="26" customFormat="false" ht="15" hidden="false" customHeight="false" outlineLevel="0" collapsed="false">
      <c r="A26" s="12"/>
      <c r="B26" s="13"/>
      <c r="C26" s="13"/>
      <c r="D26" s="14"/>
      <c r="E26" s="13"/>
      <c r="F26" s="15"/>
      <c r="G26" s="16"/>
      <c r="H26" s="17"/>
    </row>
    <row r="27" customFormat="false" ht="15" hidden="false" customHeight="false" outlineLevel="0" collapsed="false">
      <c r="A27" s="12"/>
      <c r="B27" s="13"/>
      <c r="C27" s="13"/>
      <c r="D27" s="14"/>
      <c r="E27" s="13"/>
      <c r="F27" s="15"/>
      <c r="G27" s="16"/>
      <c r="H27" s="17"/>
    </row>
    <row r="28" customFormat="false" ht="15" hidden="false" customHeight="false" outlineLevel="0" collapsed="false">
      <c r="A28" s="12"/>
      <c r="B28" s="13"/>
      <c r="C28" s="13"/>
      <c r="D28" s="14"/>
      <c r="E28" s="13"/>
      <c r="F28" s="15"/>
      <c r="G28" s="16"/>
      <c r="H28" s="17"/>
    </row>
    <row r="29" customFormat="false" ht="15" hidden="false" customHeight="false" outlineLevel="0" collapsed="false">
      <c r="A29" s="12"/>
      <c r="B29" s="13"/>
      <c r="C29" s="13"/>
      <c r="D29" s="14"/>
      <c r="E29" s="13"/>
      <c r="F29" s="15"/>
      <c r="G29" s="16"/>
      <c r="H29" s="17"/>
    </row>
    <row r="30" customFormat="false" ht="15" hidden="false" customHeight="false" outlineLevel="0" collapsed="false">
      <c r="A30" s="12"/>
      <c r="B30" s="13"/>
      <c r="C30" s="13"/>
      <c r="D30" s="14"/>
      <c r="E30" s="13"/>
      <c r="F30" s="15"/>
      <c r="G30" s="16"/>
      <c r="H30" s="17"/>
    </row>
    <row r="31" customFormat="false" ht="15" hidden="false" customHeight="false" outlineLevel="0" collapsed="false">
      <c r="A31" s="12"/>
      <c r="B31" s="13"/>
      <c r="C31" s="13"/>
      <c r="D31" s="14"/>
      <c r="E31" s="13"/>
      <c r="F31" s="15"/>
      <c r="G31" s="16"/>
      <c r="H31" s="17"/>
    </row>
    <row r="32" customFormat="false" ht="15" hidden="false" customHeight="false" outlineLevel="0" collapsed="false">
      <c r="A32" s="12"/>
      <c r="B32" s="13"/>
      <c r="C32" s="13"/>
      <c r="D32" s="14"/>
      <c r="E32" s="13"/>
      <c r="F32" s="15"/>
      <c r="G32" s="16"/>
      <c r="H32" s="17"/>
    </row>
    <row r="33" customFormat="false" ht="15" hidden="false" customHeight="false" outlineLevel="0" collapsed="false">
      <c r="A33" s="12"/>
      <c r="B33" s="13"/>
      <c r="C33" s="13"/>
      <c r="D33" s="14"/>
      <c r="E33" s="13"/>
      <c r="F33" s="15"/>
      <c r="G33" s="16"/>
      <c r="H33" s="17"/>
    </row>
    <row r="34" customFormat="false" ht="15" hidden="false" customHeight="false" outlineLevel="0" collapsed="false">
      <c r="A34" s="12"/>
      <c r="B34" s="13"/>
      <c r="C34" s="13"/>
      <c r="D34" s="14"/>
      <c r="E34" s="13"/>
      <c r="F34" s="15"/>
      <c r="G34" s="16"/>
      <c r="H34" s="17"/>
    </row>
    <row r="35" customFormat="false" ht="15" hidden="false" customHeight="false" outlineLevel="0" collapsed="false">
      <c r="A35" s="12"/>
      <c r="B35" s="13"/>
      <c r="C35" s="13"/>
      <c r="D35" s="14"/>
      <c r="E35" s="13"/>
      <c r="F35" s="15"/>
      <c r="G35" s="16"/>
      <c r="H35" s="17"/>
    </row>
    <row r="36" customFormat="false" ht="15" hidden="false" customHeight="false" outlineLevel="0" collapsed="false">
      <c r="A36" s="12"/>
      <c r="B36" s="13"/>
      <c r="C36" s="13"/>
      <c r="D36" s="14"/>
      <c r="E36" s="13"/>
      <c r="F36" s="15"/>
      <c r="G36" s="16"/>
      <c r="H36" s="17"/>
    </row>
    <row r="37" customFormat="false" ht="15" hidden="false" customHeight="false" outlineLevel="0" collapsed="false">
      <c r="A37" s="12"/>
      <c r="B37" s="13"/>
      <c r="C37" s="13"/>
      <c r="D37" s="14"/>
      <c r="E37" s="13"/>
      <c r="F37" s="15"/>
      <c r="G37" s="16"/>
      <c r="H37" s="17"/>
    </row>
    <row r="38" customFormat="false" ht="15" hidden="false" customHeight="false" outlineLevel="0" collapsed="false">
      <c r="A38" s="12"/>
      <c r="B38" s="13"/>
      <c r="C38" s="13"/>
      <c r="D38" s="14"/>
      <c r="E38" s="13"/>
      <c r="F38" s="15"/>
      <c r="G38" s="16"/>
      <c r="H38" s="17"/>
    </row>
    <row r="39" customFormat="false" ht="15" hidden="false" customHeight="false" outlineLevel="0" collapsed="false">
      <c r="A39" s="12"/>
      <c r="B39" s="13"/>
      <c r="C39" s="13"/>
      <c r="D39" s="14"/>
      <c r="E39" s="13"/>
      <c r="F39" s="15"/>
      <c r="G39" s="16"/>
      <c r="H39" s="17"/>
    </row>
    <row r="40" customFormat="false" ht="15" hidden="false" customHeight="false" outlineLevel="0" collapsed="false">
      <c r="A40" s="12"/>
      <c r="B40" s="13"/>
      <c r="C40" s="13"/>
      <c r="D40" s="14"/>
      <c r="E40" s="13"/>
      <c r="F40" s="15"/>
      <c r="G40" s="16"/>
      <c r="H40" s="17"/>
    </row>
    <row r="41" customFormat="false" ht="15" hidden="false" customHeight="false" outlineLevel="0" collapsed="false">
      <c r="A41" s="12"/>
      <c r="B41" s="13"/>
      <c r="C41" s="13"/>
      <c r="D41" s="14"/>
      <c r="E41" s="13"/>
      <c r="F41" s="15"/>
      <c r="G41" s="16"/>
      <c r="H41" s="17"/>
    </row>
    <row r="42" customFormat="false" ht="15" hidden="false" customHeight="false" outlineLevel="0" collapsed="false">
      <c r="A42" s="12"/>
      <c r="B42" s="13"/>
      <c r="C42" s="13"/>
      <c r="D42" s="14"/>
      <c r="E42" s="13"/>
      <c r="F42" s="15"/>
      <c r="G42" s="16"/>
      <c r="H42" s="17"/>
    </row>
    <row r="43" customFormat="false" ht="15" hidden="false" customHeight="false" outlineLevel="0" collapsed="false">
      <c r="A43" s="12"/>
      <c r="B43" s="13"/>
      <c r="C43" s="13"/>
      <c r="D43" s="14"/>
      <c r="E43" s="13"/>
      <c r="F43" s="15"/>
      <c r="G43" s="16"/>
      <c r="H43" s="17"/>
    </row>
    <row r="44" customFormat="false" ht="15" hidden="false" customHeight="false" outlineLevel="0" collapsed="false">
      <c r="A44" s="12"/>
      <c r="B44" s="13"/>
      <c r="C44" s="13"/>
      <c r="D44" s="14"/>
      <c r="E44" s="13"/>
      <c r="F44" s="15"/>
      <c r="G44" s="16"/>
      <c r="H44" s="17"/>
    </row>
    <row r="45" customFormat="false" ht="15" hidden="false" customHeight="false" outlineLevel="0" collapsed="false">
      <c r="A45" s="12"/>
      <c r="B45" s="13"/>
      <c r="C45" s="13"/>
      <c r="D45" s="14"/>
      <c r="E45" s="13"/>
      <c r="F45" s="15"/>
      <c r="G45" s="16"/>
      <c r="H45" s="17"/>
    </row>
    <row r="46" customFormat="false" ht="15" hidden="false" customHeight="false" outlineLevel="0" collapsed="false">
      <c r="A46" s="12"/>
      <c r="B46" s="13"/>
      <c r="C46" s="13"/>
      <c r="D46" s="14"/>
      <c r="E46" s="13"/>
      <c r="F46" s="15"/>
      <c r="G46" s="16"/>
      <c r="H46" s="17"/>
    </row>
    <row r="47" customFormat="false" ht="15" hidden="false" customHeight="false" outlineLevel="0" collapsed="false">
      <c r="A47" s="12"/>
      <c r="B47" s="13"/>
      <c r="C47" s="13"/>
      <c r="D47" s="14"/>
      <c r="E47" s="13"/>
      <c r="F47" s="15"/>
      <c r="G47" s="16"/>
      <c r="H47" s="17"/>
    </row>
    <row r="48" customFormat="false" ht="15" hidden="false" customHeight="false" outlineLevel="0" collapsed="false">
      <c r="A48" s="12"/>
      <c r="B48" s="13"/>
      <c r="C48" s="13"/>
      <c r="D48" s="14"/>
      <c r="E48" s="13"/>
      <c r="F48" s="15"/>
      <c r="G48" s="16"/>
      <c r="H48" s="17"/>
    </row>
    <row r="49" customFormat="false" ht="15" hidden="false" customHeight="false" outlineLevel="0" collapsed="false">
      <c r="A49" s="12"/>
      <c r="B49" s="13"/>
      <c r="C49" s="13"/>
      <c r="D49" s="14"/>
      <c r="E49" s="13"/>
      <c r="F49" s="15"/>
      <c r="G49" s="16"/>
      <c r="H49" s="17"/>
    </row>
    <row r="50" customFormat="false" ht="15" hidden="false" customHeight="false" outlineLevel="0" collapsed="false">
      <c r="A50" s="12"/>
      <c r="B50" s="13"/>
      <c r="C50" s="13"/>
      <c r="D50" s="14"/>
      <c r="E50" s="13"/>
      <c r="F50" s="15"/>
      <c r="G50" s="16"/>
      <c r="H50" s="17"/>
    </row>
    <row r="51" customFormat="false" ht="15" hidden="false" customHeight="false" outlineLevel="0" collapsed="false">
      <c r="A51" s="12"/>
      <c r="B51" s="13"/>
      <c r="C51" s="13"/>
      <c r="D51" s="14"/>
      <c r="E51" s="13"/>
      <c r="F51" s="15"/>
      <c r="G51" s="16"/>
      <c r="H51" s="17"/>
    </row>
    <row r="52" customFormat="false" ht="15" hidden="false" customHeight="false" outlineLevel="0" collapsed="false">
      <c r="A52" s="12"/>
      <c r="B52" s="13"/>
      <c r="C52" s="13"/>
      <c r="D52" s="14"/>
      <c r="E52" s="13"/>
      <c r="F52" s="15"/>
      <c r="G52" s="16"/>
      <c r="H52" s="17"/>
    </row>
    <row r="53" customFormat="false" ht="15" hidden="false" customHeight="false" outlineLevel="0" collapsed="false">
      <c r="A53" s="12"/>
      <c r="B53" s="13"/>
      <c r="C53" s="13"/>
      <c r="D53" s="14"/>
      <c r="E53" s="13"/>
      <c r="F53" s="15"/>
      <c r="G53" s="16"/>
      <c r="H53" s="17"/>
    </row>
    <row r="54" customFormat="false" ht="15" hidden="false" customHeight="false" outlineLevel="0" collapsed="false">
      <c r="A54" s="12"/>
      <c r="B54" s="13"/>
      <c r="C54" s="13"/>
      <c r="D54" s="14"/>
      <c r="E54" s="13"/>
      <c r="F54" s="15"/>
      <c r="G54" s="16"/>
      <c r="H54" s="17"/>
    </row>
    <row r="55" customFormat="false" ht="15" hidden="false" customHeight="false" outlineLevel="0" collapsed="false">
      <c r="A55" s="12"/>
      <c r="B55" s="13"/>
      <c r="C55" s="13"/>
      <c r="D55" s="14"/>
      <c r="E55" s="13"/>
      <c r="F55" s="15"/>
      <c r="G55" s="16"/>
      <c r="H55" s="17"/>
    </row>
    <row r="56" customFormat="false" ht="15" hidden="false" customHeight="false" outlineLevel="0" collapsed="false">
      <c r="A56" s="12"/>
      <c r="B56" s="13"/>
      <c r="C56" s="13"/>
      <c r="D56" s="14"/>
      <c r="E56" s="13"/>
      <c r="F56" s="15"/>
      <c r="G56" s="16"/>
      <c r="H56" s="17"/>
    </row>
    <row r="57" customFormat="false" ht="15" hidden="false" customHeight="false" outlineLevel="0" collapsed="false">
      <c r="A57" s="12"/>
      <c r="B57" s="13"/>
      <c r="C57" s="13"/>
      <c r="D57" s="14"/>
      <c r="E57" s="13"/>
      <c r="F57" s="15"/>
      <c r="G57" s="16"/>
      <c r="H57" s="17"/>
    </row>
    <row r="58" customFormat="false" ht="15" hidden="false" customHeight="false" outlineLevel="0" collapsed="false">
      <c r="A58" s="12"/>
      <c r="B58" s="13"/>
      <c r="C58" s="13"/>
      <c r="D58" s="14"/>
      <c r="E58" s="13"/>
      <c r="F58" s="15"/>
      <c r="G58" s="16"/>
      <c r="H58" s="17"/>
    </row>
    <row r="59" customFormat="false" ht="15" hidden="false" customHeight="false" outlineLevel="0" collapsed="false">
      <c r="A59" s="12"/>
      <c r="B59" s="13"/>
      <c r="C59" s="13"/>
      <c r="D59" s="14"/>
      <c r="E59" s="13"/>
      <c r="F59" s="15"/>
      <c r="G59" s="16"/>
      <c r="H59" s="17"/>
    </row>
    <row r="60" customFormat="false" ht="15" hidden="false" customHeight="false" outlineLevel="0" collapsed="false">
      <c r="A60" s="12"/>
      <c r="B60" s="13"/>
      <c r="C60" s="13"/>
      <c r="D60" s="14"/>
      <c r="E60" s="13"/>
      <c r="F60" s="15"/>
      <c r="G60" s="16"/>
      <c r="H60" s="17"/>
    </row>
    <row r="61" customFormat="false" ht="15" hidden="false" customHeight="false" outlineLevel="0" collapsed="false">
      <c r="A61" s="12"/>
      <c r="B61" s="13"/>
      <c r="C61" s="13"/>
      <c r="D61" s="14"/>
      <c r="E61" s="13"/>
      <c r="F61" s="15"/>
      <c r="G61" s="16"/>
      <c r="H61" s="17"/>
    </row>
    <row r="62" customFormat="false" ht="15" hidden="false" customHeight="false" outlineLevel="0" collapsed="false">
      <c r="A62" s="12"/>
      <c r="B62" s="13"/>
      <c r="C62" s="13"/>
      <c r="D62" s="14"/>
      <c r="E62" s="13"/>
      <c r="F62" s="15"/>
      <c r="G62" s="16"/>
      <c r="H62" s="17"/>
    </row>
    <row r="63" customFormat="false" ht="15" hidden="false" customHeight="false" outlineLevel="0" collapsed="false">
      <c r="A63" s="12"/>
      <c r="B63" s="13"/>
      <c r="C63" s="13"/>
      <c r="D63" s="14"/>
      <c r="E63" s="13"/>
      <c r="F63" s="15"/>
      <c r="G63" s="16"/>
      <c r="H63" s="17"/>
    </row>
    <row r="64" customFormat="false" ht="15" hidden="false" customHeight="false" outlineLevel="0" collapsed="false">
      <c r="A64" s="12"/>
      <c r="B64" s="13"/>
      <c r="C64" s="13"/>
      <c r="D64" s="14"/>
      <c r="E64" s="13"/>
      <c r="F64" s="15"/>
      <c r="G64" s="16"/>
      <c r="H64" s="17"/>
    </row>
    <row r="65" customFormat="false" ht="15" hidden="false" customHeight="false" outlineLevel="0" collapsed="false">
      <c r="A65" s="12"/>
      <c r="B65" s="22"/>
      <c r="C65" s="22"/>
      <c r="D65" s="14"/>
      <c r="E65" s="22"/>
      <c r="F65" s="17"/>
      <c r="G65" s="23"/>
      <c r="H65" s="17"/>
    </row>
    <row r="66" customFormat="false" ht="15" hidden="false" customHeight="false" outlineLevel="0" collapsed="false">
      <c r="A66" s="12"/>
      <c r="B66" s="22"/>
      <c r="C66" s="22"/>
      <c r="D66" s="14"/>
      <c r="E66" s="22"/>
      <c r="F66" s="17"/>
      <c r="G66" s="23"/>
      <c r="H66" s="17"/>
    </row>
  </sheetData>
  <sheetProtection sheet="true" formatCells="false"/>
  <autoFilter ref="A3:H164"/>
  <mergeCells count="2">
    <mergeCell ref="A1:G1"/>
    <mergeCell ref="A19:H19"/>
  </mergeCells>
  <conditionalFormatting sqref="A4:G64">
    <cfRule type="cellIs" priority="2" operator="equal" aboveAverage="0" equalAverage="0" bottom="0" percent="0" rank="0" text="" dxfId="8">
      <formula>"A"</formula>
    </cfRule>
    <cfRule type="expression" priority="3" aboveAverage="0" equalAverage="0" bottom="0" percent="0" rank="0" text="" dxfId="8">
      <formula>$F4="A"</formula>
    </cfRule>
    <cfRule type="expression" priority="4" aboveAverage="0" equalAverage="0" bottom="0" percent="0" rank="0" text="" dxfId="9">
      <formula>$F4="B"</formula>
    </cfRule>
    <cfRule type="expression" priority="5" aboveAverage="0" equalAverage="0" bottom="0" percent="0" rank="0" text="" dxfId="10">
      <formula>$F4="C"</formula>
    </cfRule>
  </conditionalFormatting>
  <dataValidations count="3">
    <dataValidation allowBlank="true" errorStyle="stop" operator="between" showDropDown="false" showErrorMessage="false" showInputMessage="false" sqref="F4:F164" type="list">
      <formula1>"A,B,C,—"</formula1>
      <formula2>0</formula2>
    </dataValidation>
    <dataValidation allowBlank="true" errorStyle="stop" operator="between" showDropDown="false" showErrorMessage="false" showInputMessage="false" sqref="E4:E164" type="list">
      <formula1>"SDD,Accredito,Bancomat,CC moglie,Contanti,Buoni pasto,Gift card,Altro"</formula1>
      <formula2>0</formula2>
    </dataValidation>
    <dataValidation allowBlank="true" errorStyle="stop" operator="between" showDropDown="false" showErrorMessage="false" showInputMessage="false" sqref="H4:H164" type="list">
      <formula1>"Sì,No"</formula1>
      <formula2>0</formula2>
    </dataValidation>
  </dataValidations>
  <printOptions headings="false" gridLines="tru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E17" activeCellId="0" sqref="E17"/>
    </sheetView>
  </sheetViews>
  <sheetFormatPr defaultColWidth="9.7578125" defaultRowHeight="15" customHeight="true" zeroHeight="false" outlineLevelRow="0" outlineLevelCol="0"/>
  <cols>
    <col collapsed="false" customWidth="true" hidden="false" outlineLevel="0" max="1" min="1" style="0" width="13.62"/>
    <col collapsed="false" customWidth="true" hidden="false" outlineLevel="0" max="2" min="2" style="0" width="15.89"/>
    <col collapsed="false" customWidth="true" hidden="false" outlineLevel="0" max="3" min="3" style="0" width="43.14"/>
    <col collapsed="false" customWidth="true" hidden="false" outlineLevel="0" max="5" min="4" style="0" width="15.89"/>
    <col collapsed="false" customWidth="true" hidden="false" outlineLevel="0" max="6" min="6" style="0" width="9.08"/>
    <col collapsed="false" customWidth="true" hidden="false" outlineLevel="0" max="7" min="7" style="0" width="45.41"/>
    <col collapsed="false" customWidth="true" hidden="false" outlineLevel="0" max="8" min="8" style="0" width="11.35"/>
    <col collapsed="false" customWidth="true" hidden="false" outlineLevel="0" max="10" min="10" style="0" width="20.43"/>
    <col collapsed="false" customWidth="true" hidden="false" outlineLevel="0" max="11" min="11" style="0" width="18.16"/>
  </cols>
  <sheetData>
    <row r="1" customFormat="false" ht="27.75" hidden="false" customHeight="true" outlineLevel="0" collapsed="false">
      <c r="A1" s="9" t="s">
        <v>117</v>
      </c>
      <c r="B1" s="9"/>
      <c r="C1" s="9"/>
      <c r="D1" s="9"/>
      <c r="E1" s="9"/>
      <c r="F1" s="9"/>
      <c r="G1" s="9"/>
    </row>
    <row r="2" customFormat="false" ht="15" hidden="false" customHeight="false" outlineLevel="0" collapsed="false">
      <c r="F2" s="10" t="s">
        <v>63</v>
      </c>
      <c r="G2" s="4" t="n">
        <f aca="false">SUMIF($A:$A,"&lt;&gt;",$D:$D)</f>
        <v>-198</v>
      </c>
      <c r="J2" s="10" t="s">
        <v>64</v>
      </c>
      <c r="K2" s="4" t="n">
        <f aca="false">SUMIF($A:$A,"&lt;&gt;",$D:$D)</f>
        <v>-198</v>
      </c>
    </row>
    <row r="3" customFormat="false" ht="24" hidden="false" customHeight="true" outlineLevel="0" collapsed="false">
      <c r="A3" s="11" t="s">
        <v>65</v>
      </c>
      <c r="B3" s="11" t="s">
        <v>66</v>
      </c>
      <c r="C3" s="11" t="s">
        <v>67</v>
      </c>
      <c r="D3" s="11" t="s">
        <v>68</v>
      </c>
      <c r="E3" s="11" t="s">
        <v>69</v>
      </c>
      <c r="F3" s="11" t="s">
        <v>17</v>
      </c>
      <c r="G3" s="11" t="s">
        <v>70</v>
      </c>
      <c r="H3" s="11" t="s">
        <v>30</v>
      </c>
      <c r="J3" s="10" t="s">
        <v>71</v>
      </c>
      <c r="K3" s="4" t="n">
        <f aca="false">'07-Jul'!$K$3+$K$2</f>
        <v>854.45</v>
      </c>
    </row>
    <row r="4" customFormat="false" ht="18" hidden="false" customHeight="true" outlineLevel="0" collapsed="false">
      <c r="A4" s="12" t="n">
        <v>46235</v>
      </c>
      <c r="B4" s="13" t="s">
        <v>72</v>
      </c>
      <c r="C4" s="13" t="s">
        <v>73</v>
      </c>
      <c r="D4" s="14" t="n">
        <v>-742</v>
      </c>
      <c r="E4" s="13" t="s">
        <v>74</v>
      </c>
      <c r="F4" s="15" t="s">
        <v>19</v>
      </c>
      <c r="G4" s="16" t="s">
        <v>75</v>
      </c>
      <c r="H4" s="17"/>
    </row>
    <row r="5" customFormat="false" ht="18" hidden="false" customHeight="true" outlineLevel="0" collapsed="false">
      <c r="A5" s="12" t="n">
        <v>46235</v>
      </c>
      <c r="B5" s="13" t="s">
        <v>76</v>
      </c>
      <c r="C5" s="13" t="s">
        <v>77</v>
      </c>
      <c r="D5" s="14" t="n">
        <v>-38</v>
      </c>
      <c r="E5" s="13" t="s">
        <v>74</v>
      </c>
      <c r="F5" s="15" t="s">
        <v>21</v>
      </c>
      <c r="G5" s="16" t="s">
        <v>78</v>
      </c>
      <c r="H5" s="17"/>
    </row>
    <row r="6" customFormat="false" ht="18" hidden="false" customHeight="true" outlineLevel="0" collapsed="false">
      <c r="A6" s="12" t="n">
        <v>46235</v>
      </c>
      <c r="B6" s="13" t="s">
        <v>86</v>
      </c>
      <c r="C6" s="13" t="s">
        <v>40</v>
      </c>
      <c r="D6" s="14" t="n">
        <v>-170</v>
      </c>
      <c r="E6" s="13" t="s">
        <v>84</v>
      </c>
      <c r="F6" s="15" t="s">
        <v>21</v>
      </c>
      <c r="G6" s="16"/>
      <c r="H6" s="17"/>
    </row>
    <row r="7" customFormat="false" ht="18" hidden="false" customHeight="true" outlineLevel="0" collapsed="false">
      <c r="A7" s="12" t="n">
        <v>46242</v>
      </c>
      <c r="B7" s="13" t="s">
        <v>86</v>
      </c>
      <c r="C7" s="13" t="s">
        <v>40</v>
      </c>
      <c r="D7" s="14" t="n">
        <v>-170</v>
      </c>
      <c r="E7" s="13" t="s">
        <v>84</v>
      </c>
      <c r="F7" s="15" t="s">
        <v>21</v>
      </c>
      <c r="G7" s="16"/>
      <c r="H7" s="17"/>
    </row>
    <row r="8" customFormat="false" ht="18" hidden="false" customHeight="true" outlineLevel="0" collapsed="false">
      <c r="A8" s="12" t="n">
        <v>46249</v>
      </c>
      <c r="B8" s="13" t="s">
        <v>72</v>
      </c>
      <c r="C8" s="13" t="s">
        <v>87</v>
      </c>
      <c r="D8" s="14" t="n">
        <v>-218</v>
      </c>
      <c r="E8" s="13" t="s">
        <v>74</v>
      </c>
      <c r="F8" s="15" t="s">
        <v>19</v>
      </c>
      <c r="G8" s="16" t="s">
        <v>88</v>
      </c>
      <c r="H8" s="17"/>
    </row>
    <row r="9" customFormat="false" ht="18" hidden="false" customHeight="true" outlineLevel="0" collapsed="false">
      <c r="A9" s="12" t="n">
        <v>46249</v>
      </c>
      <c r="B9" s="13" t="s">
        <v>72</v>
      </c>
      <c r="C9" s="13" t="s">
        <v>89</v>
      </c>
      <c r="D9" s="14" t="n">
        <v>-545</v>
      </c>
      <c r="E9" s="13" t="s">
        <v>74</v>
      </c>
      <c r="F9" s="15" t="s">
        <v>19</v>
      </c>
      <c r="G9" s="16" t="s">
        <v>90</v>
      </c>
      <c r="H9" s="17"/>
    </row>
    <row r="10" customFormat="false" ht="18" hidden="false" customHeight="true" outlineLevel="0" collapsed="false">
      <c r="A10" s="12" t="n">
        <v>46249</v>
      </c>
      <c r="B10" s="13" t="s">
        <v>91</v>
      </c>
      <c r="C10" s="13" t="s">
        <v>92</v>
      </c>
      <c r="D10" s="14" t="n">
        <v>-31</v>
      </c>
      <c r="E10" s="13" t="s">
        <v>74</v>
      </c>
      <c r="F10" s="15" t="s">
        <v>21</v>
      </c>
      <c r="G10" s="16" t="s">
        <v>93</v>
      </c>
      <c r="H10" s="17"/>
    </row>
    <row r="11" customFormat="false" ht="18" hidden="false" customHeight="true" outlineLevel="0" collapsed="false">
      <c r="A11" s="12" t="n">
        <v>46249</v>
      </c>
      <c r="B11" s="13" t="s">
        <v>91</v>
      </c>
      <c r="C11" s="13" t="s">
        <v>94</v>
      </c>
      <c r="D11" s="14" t="n">
        <v>-14</v>
      </c>
      <c r="E11" s="13" t="s">
        <v>74</v>
      </c>
      <c r="F11" s="15" t="s">
        <v>21</v>
      </c>
      <c r="G11" s="16" t="s">
        <v>93</v>
      </c>
      <c r="H11" s="17"/>
    </row>
    <row r="12" customFormat="false" ht="18" hidden="false" customHeight="true" outlineLevel="0" collapsed="false">
      <c r="A12" s="12" t="n">
        <v>46249</v>
      </c>
      <c r="B12" s="13" t="s">
        <v>91</v>
      </c>
      <c r="C12" s="13" t="s">
        <v>95</v>
      </c>
      <c r="D12" s="14" t="n">
        <v>-120</v>
      </c>
      <c r="E12" s="13" t="s">
        <v>74</v>
      </c>
      <c r="F12" s="15" t="s">
        <v>21</v>
      </c>
      <c r="G12" s="16" t="s">
        <v>96</v>
      </c>
      <c r="H12" s="17"/>
    </row>
    <row r="13" customFormat="false" ht="18" hidden="false" customHeight="true" outlineLevel="0" collapsed="false">
      <c r="A13" s="12" t="n">
        <v>46249</v>
      </c>
      <c r="B13" s="13" t="s">
        <v>91</v>
      </c>
      <c r="C13" s="13" t="s">
        <v>97</v>
      </c>
      <c r="D13" s="14" t="n">
        <v>-20</v>
      </c>
      <c r="E13" s="13" t="s">
        <v>74</v>
      </c>
      <c r="F13" s="15" t="s">
        <v>21</v>
      </c>
      <c r="G13" s="16" t="s">
        <v>96</v>
      </c>
      <c r="H13" s="17"/>
    </row>
    <row r="14" customFormat="false" ht="18" hidden="false" customHeight="true" outlineLevel="0" collapsed="false">
      <c r="A14" s="12" t="n">
        <v>46249</v>
      </c>
      <c r="B14" s="13" t="s">
        <v>86</v>
      </c>
      <c r="C14" s="13" t="s">
        <v>40</v>
      </c>
      <c r="D14" s="14" t="n">
        <v>-170</v>
      </c>
      <c r="E14" s="13" t="s">
        <v>84</v>
      </c>
      <c r="F14" s="15" t="s">
        <v>21</v>
      </c>
      <c r="G14" s="16"/>
      <c r="H14" s="17"/>
    </row>
    <row r="15" customFormat="false" ht="18" hidden="false" customHeight="true" outlineLevel="0" collapsed="false">
      <c r="A15" s="12" t="n">
        <v>46256</v>
      </c>
      <c r="B15" s="13" t="s">
        <v>86</v>
      </c>
      <c r="C15" s="13" t="s">
        <v>40</v>
      </c>
      <c r="D15" s="14" t="n">
        <v>-170</v>
      </c>
      <c r="E15" s="13" t="s">
        <v>84</v>
      </c>
      <c r="F15" s="15" t="s">
        <v>21</v>
      </c>
      <c r="G15" s="16"/>
      <c r="H15" s="17"/>
    </row>
    <row r="16" customFormat="false" ht="19.5" hidden="false" customHeight="true" outlineLevel="0" collapsed="false">
      <c r="A16" s="12" t="n">
        <v>46261</v>
      </c>
      <c r="B16" s="13" t="s">
        <v>98</v>
      </c>
      <c r="C16" s="13" t="s">
        <v>99</v>
      </c>
      <c r="D16" s="14" t="n">
        <v>2380</v>
      </c>
      <c r="E16" s="13" t="s">
        <v>100</v>
      </c>
      <c r="F16" s="15" t="s">
        <v>19</v>
      </c>
      <c r="G16" s="16"/>
      <c r="H16" s="17"/>
    </row>
    <row r="17" customFormat="false" ht="18" hidden="false" customHeight="true" outlineLevel="0" collapsed="false">
      <c r="A17" s="12" t="n">
        <v>46263</v>
      </c>
      <c r="B17" s="13" t="s">
        <v>86</v>
      </c>
      <c r="C17" s="13" t="s">
        <v>40</v>
      </c>
      <c r="D17" s="14" t="n">
        <v>-170</v>
      </c>
      <c r="E17" s="13" t="s">
        <v>101</v>
      </c>
      <c r="F17" s="15" t="s">
        <v>21</v>
      </c>
      <c r="G17" s="16"/>
      <c r="H17" s="17"/>
    </row>
    <row r="18" customFormat="false" ht="18" hidden="false" customHeight="true" outlineLevel="0" collapsed="false">
      <c r="A18" s="12"/>
      <c r="B18" s="18"/>
      <c r="C18" s="18"/>
      <c r="D18" s="18"/>
      <c r="E18" s="18"/>
      <c r="F18" s="18"/>
      <c r="G18" s="18"/>
      <c r="H18" s="17"/>
    </row>
    <row r="19" customFormat="false" ht="18" hidden="false" customHeight="true" outlineLevel="0" collapsed="false">
      <c r="A19" s="19" t="s">
        <v>102</v>
      </c>
      <c r="B19" s="19"/>
      <c r="C19" s="19"/>
      <c r="D19" s="19"/>
      <c r="E19" s="19"/>
      <c r="F19" s="19"/>
      <c r="G19" s="19"/>
      <c r="H19" s="19"/>
    </row>
    <row r="20" customFormat="false" ht="18" hidden="false" customHeight="true" outlineLevel="0" collapsed="false">
      <c r="A20" s="12" t="s">
        <v>103</v>
      </c>
      <c r="B20" s="18"/>
      <c r="C20" s="18"/>
      <c r="D20" s="18"/>
      <c r="E20" s="18"/>
      <c r="F20" s="18"/>
      <c r="G20" s="18"/>
      <c r="H20" s="17"/>
    </row>
    <row r="21" customFormat="false" ht="16.4" hidden="false" customHeight="false" outlineLevel="0" collapsed="false">
      <c r="A21" s="12" t="s">
        <v>104</v>
      </c>
      <c r="B21" s="18"/>
      <c r="C21" s="18"/>
      <c r="D21" s="18"/>
      <c r="E21" s="18"/>
      <c r="F21" s="18"/>
      <c r="G21" s="18"/>
      <c r="H21" s="17"/>
    </row>
    <row r="22" customFormat="false" ht="16.4" hidden="false" customHeight="false" outlineLevel="0" collapsed="false">
      <c r="A22" s="12" t="s">
        <v>105</v>
      </c>
      <c r="B22" s="20"/>
      <c r="C22" s="20"/>
      <c r="D22" s="20"/>
      <c r="E22" s="20"/>
      <c r="F22" s="20"/>
      <c r="G22" s="21"/>
      <c r="H22" s="17"/>
    </row>
    <row r="23" customFormat="false" ht="16.4" hidden="false" customHeight="false" outlineLevel="0" collapsed="false">
      <c r="A23" s="12" t="s">
        <v>106</v>
      </c>
      <c r="B23" s="20"/>
      <c r="C23" s="20"/>
      <c r="D23" s="20"/>
      <c r="E23" s="20"/>
      <c r="F23" s="20"/>
      <c r="G23" s="21"/>
      <c r="H23" s="17"/>
    </row>
    <row r="24" customFormat="false" ht="15" hidden="false" customHeight="false" outlineLevel="0" collapsed="false">
      <c r="A24" s="12"/>
      <c r="B24" s="20"/>
      <c r="C24" s="21"/>
      <c r="D24" s="18"/>
      <c r="E24" s="18"/>
      <c r="F24" s="18"/>
      <c r="G24" s="18"/>
      <c r="H24" s="17"/>
    </row>
    <row r="25" customFormat="false" ht="16.4" hidden="false" customHeight="false" outlineLevel="0" collapsed="false">
      <c r="A25" s="12"/>
      <c r="B25" s="13"/>
      <c r="C25" s="13"/>
      <c r="D25" s="20"/>
      <c r="E25" s="20"/>
      <c r="F25" s="20"/>
      <c r="G25" s="21"/>
      <c r="H25" s="17"/>
    </row>
    <row r="26" customFormat="false" ht="15" hidden="false" customHeight="false" outlineLevel="0" collapsed="false">
      <c r="A26" s="12"/>
      <c r="B26" s="13"/>
      <c r="C26" s="13"/>
      <c r="D26" s="20"/>
      <c r="E26" s="20"/>
      <c r="F26" s="20"/>
      <c r="G26" s="21"/>
      <c r="H26" s="17"/>
    </row>
    <row r="27" customFormat="false" ht="15" hidden="false" customHeight="false" outlineLevel="0" collapsed="false">
      <c r="A27" s="12"/>
      <c r="B27" s="13"/>
      <c r="C27" s="13"/>
      <c r="D27" s="14"/>
      <c r="E27" s="13"/>
      <c r="F27" s="15"/>
      <c r="G27" s="16"/>
      <c r="H27" s="17"/>
    </row>
    <row r="28" customFormat="false" ht="15" hidden="false" customHeight="false" outlineLevel="0" collapsed="false">
      <c r="A28" s="12"/>
      <c r="B28" s="13"/>
      <c r="C28" s="13"/>
      <c r="D28" s="14"/>
      <c r="E28" s="13"/>
      <c r="F28" s="15"/>
      <c r="G28" s="16"/>
      <c r="H28" s="17"/>
    </row>
    <row r="29" customFormat="false" ht="15" hidden="false" customHeight="false" outlineLevel="0" collapsed="false">
      <c r="A29" s="12"/>
      <c r="B29" s="13"/>
      <c r="C29" s="13"/>
      <c r="D29" s="14"/>
      <c r="E29" s="13"/>
      <c r="F29" s="15"/>
      <c r="G29" s="16"/>
      <c r="H29" s="17"/>
    </row>
    <row r="30" customFormat="false" ht="15" hidden="false" customHeight="false" outlineLevel="0" collapsed="false">
      <c r="A30" s="12"/>
      <c r="B30" s="13"/>
      <c r="C30" s="13"/>
      <c r="D30" s="14"/>
      <c r="E30" s="13"/>
      <c r="F30" s="15"/>
      <c r="G30" s="16"/>
      <c r="H30" s="17"/>
    </row>
    <row r="31" customFormat="false" ht="15" hidden="false" customHeight="false" outlineLevel="0" collapsed="false">
      <c r="A31" s="12"/>
      <c r="B31" s="13"/>
      <c r="C31" s="13"/>
      <c r="D31" s="14"/>
      <c r="E31" s="13"/>
      <c r="F31" s="15"/>
      <c r="G31" s="16"/>
      <c r="H31" s="17"/>
    </row>
    <row r="32" customFormat="false" ht="15" hidden="false" customHeight="false" outlineLevel="0" collapsed="false">
      <c r="A32" s="12"/>
      <c r="B32" s="13"/>
      <c r="C32" s="13"/>
      <c r="D32" s="14"/>
      <c r="E32" s="13"/>
      <c r="F32" s="15"/>
      <c r="G32" s="16"/>
      <c r="H32" s="17"/>
    </row>
    <row r="33" customFormat="false" ht="15" hidden="false" customHeight="false" outlineLevel="0" collapsed="false">
      <c r="A33" s="12"/>
      <c r="B33" s="13"/>
      <c r="C33" s="13"/>
      <c r="D33" s="14"/>
      <c r="E33" s="13"/>
      <c r="F33" s="15"/>
      <c r="G33" s="16"/>
      <c r="H33" s="17"/>
    </row>
    <row r="34" customFormat="false" ht="15" hidden="false" customHeight="false" outlineLevel="0" collapsed="false">
      <c r="A34" s="12"/>
      <c r="B34" s="13"/>
      <c r="C34" s="13"/>
      <c r="D34" s="14"/>
      <c r="E34" s="13"/>
      <c r="F34" s="15"/>
      <c r="G34" s="16"/>
      <c r="H34" s="17"/>
    </row>
    <row r="35" customFormat="false" ht="15" hidden="false" customHeight="false" outlineLevel="0" collapsed="false">
      <c r="A35" s="12"/>
      <c r="B35" s="13"/>
      <c r="C35" s="13"/>
      <c r="D35" s="14"/>
      <c r="E35" s="13"/>
      <c r="F35" s="15"/>
      <c r="G35" s="16"/>
      <c r="H35" s="17"/>
    </row>
    <row r="36" customFormat="false" ht="15" hidden="false" customHeight="false" outlineLevel="0" collapsed="false">
      <c r="A36" s="12"/>
      <c r="B36" s="13"/>
      <c r="C36" s="13"/>
      <c r="D36" s="14"/>
      <c r="E36" s="13"/>
      <c r="F36" s="15"/>
      <c r="G36" s="16"/>
      <c r="H36" s="17"/>
    </row>
    <row r="37" customFormat="false" ht="15" hidden="false" customHeight="false" outlineLevel="0" collapsed="false">
      <c r="A37" s="12"/>
      <c r="B37" s="13"/>
      <c r="C37" s="13"/>
      <c r="D37" s="14"/>
      <c r="E37" s="13"/>
      <c r="F37" s="15"/>
      <c r="G37" s="16"/>
      <c r="H37" s="17"/>
    </row>
    <row r="38" customFormat="false" ht="15" hidden="false" customHeight="false" outlineLevel="0" collapsed="false">
      <c r="A38" s="12"/>
      <c r="B38" s="13"/>
      <c r="C38" s="13"/>
      <c r="D38" s="14"/>
      <c r="E38" s="13"/>
      <c r="F38" s="15"/>
      <c r="G38" s="16"/>
      <c r="H38" s="17"/>
    </row>
    <row r="39" customFormat="false" ht="15" hidden="false" customHeight="false" outlineLevel="0" collapsed="false">
      <c r="A39" s="12"/>
      <c r="B39" s="13"/>
      <c r="C39" s="13"/>
      <c r="D39" s="14"/>
      <c r="E39" s="13"/>
      <c r="F39" s="15"/>
      <c r="G39" s="16"/>
      <c r="H39" s="17"/>
    </row>
    <row r="40" customFormat="false" ht="15" hidden="false" customHeight="false" outlineLevel="0" collapsed="false">
      <c r="A40" s="12"/>
      <c r="B40" s="13"/>
      <c r="C40" s="13"/>
      <c r="D40" s="14"/>
      <c r="E40" s="13"/>
      <c r="F40" s="15"/>
      <c r="G40" s="16"/>
      <c r="H40" s="17"/>
    </row>
    <row r="41" customFormat="false" ht="15" hidden="false" customHeight="false" outlineLevel="0" collapsed="false">
      <c r="A41" s="12"/>
      <c r="B41" s="13"/>
      <c r="C41" s="13"/>
      <c r="D41" s="14"/>
      <c r="E41" s="13"/>
      <c r="F41" s="15"/>
      <c r="G41" s="16"/>
      <c r="H41" s="17"/>
    </row>
    <row r="42" customFormat="false" ht="15" hidden="false" customHeight="false" outlineLevel="0" collapsed="false">
      <c r="A42" s="12"/>
      <c r="B42" s="13"/>
      <c r="C42" s="13"/>
      <c r="D42" s="14"/>
      <c r="E42" s="13"/>
      <c r="F42" s="15"/>
      <c r="G42" s="16"/>
      <c r="H42" s="17"/>
    </row>
    <row r="43" customFormat="false" ht="15" hidden="false" customHeight="false" outlineLevel="0" collapsed="false">
      <c r="A43" s="12"/>
      <c r="B43" s="13"/>
      <c r="C43" s="13"/>
      <c r="D43" s="14"/>
      <c r="E43" s="13"/>
      <c r="F43" s="15"/>
      <c r="G43" s="16"/>
      <c r="H43" s="17"/>
    </row>
    <row r="44" customFormat="false" ht="15" hidden="false" customHeight="false" outlineLevel="0" collapsed="false">
      <c r="A44" s="12"/>
      <c r="B44" s="13"/>
      <c r="C44" s="13"/>
      <c r="D44" s="14"/>
      <c r="E44" s="13"/>
      <c r="F44" s="15"/>
      <c r="G44" s="16"/>
      <c r="H44" s="17"/>
    </row>
    <row r="45" customFormat="false" ht="15" hidden="false" customHeight="false" outlineLevel="0" collapsed="false">
      <c r="A45" s="12"/>
      <c r="B45" s="13"/>
      <c r="C45" s="13"/>
      <c r="D45" s="14"/>
      <c r="E45" s="13"/>
      <c r="F45" s="15"/>
      <c r="G45" s="16"/>
      <c r="H45" s="17"/>
    </row>
    <row r="46" customFormat="false" ht="15" hidden="false" customHeight="false" outlineLevel="0" collapsed="false">
      <c r="A46" s="12"/>
      <c r="B46" s="13"/>
      <c r="C46" s="13"/>
      <c r="D46" s="14"/>
      <c r="E46" s="13"/>
      <c r="F46" s="15"/>
      <c r="G46" s="16"/>
      <c r="H46" s="17"/>
    </row>
    <row r="47" customFormat="false" ht="15" hidden="false" customHeight="false" outlineLevel="0" collapsed="false">
      <c r="A47" s="12"/>
      <c r="B47" s="13"/>
      <c r="C47" s="13"/>
      <c r="D47" s="14"/>
      <c r="E47" s="13"/>
      <c r="F47" s="15"/>
      <c r="G47" s="16"/>
      <c r="H47" s="17"/>
    </row>
    <row r="48" customFormat="false" ht="15" hidden="false" customHeight="false" outlineLevel="0" collapsed="false">
      <c r="A48" s="12"/>
      <c r="B48" s="13"/>
      <c r="C48" s="13"/>
      <c r="D48" s="14"/>
      <c r="E48" s="13"/>
      <c r="F48" s="15"/>
      <c r="G48" s="16"/>
      <c r="H48" s="17"/>
    </row>
    <row r="49" customFormat="false" ht="15" hidden="false" customHeight="false" outlineLevel="0" collapsed="false">
      <c r="A49" s="12"/>
      <c r="B49" s="13"/>
      <c r="C49" s="13"/>
      <c r="D49" s="14"/>
      <c r="E49" s="13"/>
      <c r="F49" s="15"/>
      <c r="G49" s="16"/>
      <c r="H49" s="17"/>
    </row>
    <row r="50" customFormat="false" ht="15" hidden="false" customHeight="false" outlineLevel="0" collapsed="false">
      <c r="A50" s="12"/>
      <c r="B50" s="13"/>
      <c r="C50" s="13"/>
      <c r="D50" s="14"/>
      <c r="E50" s="13"/>
      <c r="F50" s="15"/>
      <c r="G50" s="16"/>
      <c r="H50" s="17"/>
    </row>
    <row r="51" customFormat="false" ht="15" hidden="false" customHeight="false" outlineLevel="0" collapsed="false">
      <c r="A51" s="12"/>
      <c r="B51" s="13"/>
      <c r="C51" s="13"/>
      <c r="D51" s="14"/>
      <c r="E51" s="13"/>
      <c r="F51" s="15"/>
      <c r="G51" s="16"/>
      <c r="H51" s="17"/>
    </row>
    <row r="52" customFormat="false" ht="15" hidden="false" customHeight="false" outlineLevel="0" collapsed="false">
      <c r="A52" s="12"/>
      <c r="B52" s="13"/>
      <c r="C52" s="13"/>
      <c r="D52" s="14"/>
      <c r="E52" s="13"/>
      <c r="F52" s="15"/>
      <c r="G52" s="16"/>
      <c r="H52" s="17"/>
    </row>
    <row r="53" customFormat="false" ht="15" hidden="false" customHeight="false" outlineLevel="0" collapsed="false">
      <c r="A53" s="12"/>
      <c r="B53" s="13"/>
      <c r="C53" s="13"/>
      <c r="D53" s="14"/>
      <c r="E53" s="13"/>
      <c r="F53" s="15"/>
      <c r="G53" s="16"/>
      <c r="H53" s="17"/>
    </row>
    <row r="54" customFormat="false" ht="15" hidden="false" customHeight="false" outlineLevel="0" collapsed="false">
      <c r="A54" s="12"/>
      <c r="B54" s="13"/>
      <c r="C54" s="13"/>
      <c r="D54" s="14"/>
      <c r="E54" s="13"/>
      <c r="F54" s="15"/>
      <c r="G54" s="16"/>
      <c r="H54" s="17"/>
    </row>
    <row r="55" customFormat="false" ht="15" hidden="false" customHeight="false" outlineLevel="0" collapsed="false">
      <c r="A55" s="12"/>
      <c r="B55" s="13"/>
      <c r="C55" s="13"/>
      <c r="D55" s="14"/>
      <c r="E55" s="13"/>
      <c r="F55" s="15"/>
      <c r="G55" s="16"/>
      <c r="H55" s="17"/>
    </row>
    <row r="56" customFormat="false" ht="15" hidden="false" customHeight="false" outlineLevel="0" collapsed="false">
      <c r="A56" s="12"/>
      <c r="B56" s="13"/>
      <c r="C56" s="13"/>
      <c r="D56" s="14"/>
      <c r="E56" s="13"/>
      <c r="F56" s="15"/>
      <c r="G56" s="16"/>
      <c r="H56" s="17"/>
    </row>
    <row r="57" customFormat="false" ht="15" hidden="false" customHeight="false" outlineLevel="0" collapsed="false">
      <c r="A57" s="12"/>
      <c r="B57" s="13"/>
      <c r="C57" s="13"/>
      <c r="D57" s="14"/>
      <c r="E57" s="13"/>
      <c r="F57" s="15"/>
      <c r="G57" s="16"/>
      <c r="H57" s="17"/>
    </row>
    <row r="58" customFormat="false" ht="15" hidden="false" customHeight="false" outlineLevel="0" collapsed="false">
      <c r="A58" s="12"/>
      <c r="B58" s="13"/>
      <c r="C58" s="13"/>
      <c r="D58" s="14"/>
      <c r="E58" s="13"/>
      <c r="F58" s="15"/>
      <c r="G58" s="16"/>
      <c r="H58" s="17"/>
    </row>
    <row r="59" customFormat="false" ht="15" hidden="false" customHeight="false" outlineLevel="0" collapsed="false">
      <c r="A59" s="12"/>
      <c r="B59" s="13"/>
      <c r="C59" s="13"/>
      <c r="D59" s="14"/>
      <c r="E59" s="13"/>
      <c r="F59" s="15"/>
      <c r="G59" s="16"/>
      <c r="H59" s="17"/>
    </row>
    <row r="60" customFormat="false" ht="15" hidden="false" customHeight="false" outlineLevel="0" collapsed="false">
      <c r="A60" s="12"/>
      <c r="B60" s="13"/>
      <c r="C60" s="13"/>
      <c r="D60" s="14"/>
      <c r="E60" s="13"/>
      <c r="F60" s="15"/>
      <c r="G60" s="16"/>
      <c r="H60" s="17"/>
    </row>
    <row r="61" customFormat="false" ht="15" hidden="false" customHeight="false" outlineLevel="0" collapsed="false">
      <c r="A61" s="12"/>
      <c r="B61" s="13"/>
      <c r="C61" s="13"/>
      <c r="D61" s="14"/>
      <c r="E61" s="13"/>
      <c r="F61" s="15"/>
      <c r="G61" s="16"/>
      <c r="H61" s="17"/>
    </row>
    <row r="62" customFormat="false" ht="15" hidden="false" customHeight="false" outlineLevel="0" collapsed="false">
      <c r="A62" s="12"/>
      <c r="B62" s="13"/>
      <c r="C62" s="13"/>
      <c r="D62" s="14"/>
      <c r="E62" s="13"/>
      <c r="F62" s="15"/>
      <c r="G62" s="16"/>
      <c r="H62" s="17"/>
    </row>
    <row r="63" customFormat="false" ht="15" hidden="false" customHeight="false" outlineLevel="0" collapsed="false">
      <c r="A63" s="12"/>
      <c r="B63" s="13"/>
      <c r="C63" s="13"/>
      <c r="D63" s="14"/>
      <c r="E63" s="13"/>
      <c r="F63" s="15"/>
      <c r="G63" s="16"/>
      <c r="H63" s="17"/>
    </row>
    <row r="64" customFormat="false" ht="15" hidden="false" customHeight="false" outlineLevel="0" collapsed="false">
      <c r="A64" s="12"/>
      <c r="B64" s="13"/>
      <c r="C64" s="13"/>
      <c r="D64" s="14"/>
      <c r="E64" s="13"/>
      <c r="F64" s="15"/>
      <c r="G64" s="16"/>
      <c r="H64" s="17"/>
    </row>
    <row r="65" customFormat="false" ht="15" hidden="false" customHeight="false" outlineLevel="0" collapsed="false">
      <c r="A65" s="12"/>
      <c r="B65" s="22"/>
      <c r="C65" s="22"/>
      <c r="D65" s="14"/>
      <c r="E65" s="22"/>
      <c r="F65" s="17"/>
      <c r="G65" s="23"/>
      <c r="H65" s="17"/>
    </row>
    <row r="66" customFormat="false" ht="15" hidden="false" customHeight="false" outlineLevel="0" collapsed="false">
      <c r="A66" s="12"/>
      <c r="B66" s="22"/>
      <c r="C66" s="22"/>
      <c r="D66" s="14"/>
      <c r="E66" s="22"/>
      <c r="F66" s="17"/>
      <c r="G66" s="23"/>
      <c r="H66" s="17"/>
    </row>
  </sheetData>
  <sheetProtection sheet="true" formatCells="false"/>
  <autoFilter ref="A3:H164"/>
  <mergeCells count="2">
    <mergeCell ref="A1:G1"/>
    <mergeCell ref="A19:H19"/>
  </mergeCells>
  <conditionalFormatting sqref="A4:G64">
    <cfRule type="cellIs" priority="2" operator="equal" aboveAverage="0" equalAverage="0" bottom="0" percent="0" rank="0" text="" dxfId="8">
      <formula>"A"</formula>
    </cfRule>
    <cfRule type="expression" priority="3" aboveAverage="0" equalAverage="0" bottom="0" percent="0" rank="0" text="" dxfId="8">
      <formula>$F4="A"</formula>
    </cfRule>
    <cfRule type="expression" priority="4" aboveAverage="0" equalAverage="0" bottom="0" percent="0" rank="0" text="" dxfId="9">
      <formula>$F4="B"</formula>
    </cfRule>
    <cfRule type="expression" priority="5" aboveAverage="0" equalAverage="0" bottom="0" percent="0" rank="0" text="" dxfId="10">
      <formula>$F4="C"</formula>
    </cfRule>
  </conditionalFormatting>
  <dataValidations count="3">
    <dataValidation allowBlank="true" errorStyle="stop" operator="between" showDropDown="false" showErrorMessage="false" showInputMessage="false" sqref="F4:F164" type="list">
      <formula1>"A,B,C,—"</formula1>
      <formula2>0</formula2>
    </dataValidation>
    <dataValidation allowBlank="true" errorStyle="stop" operator="between" showDropDown="false" showErrorMessage="false" showInputMessage="false" sqref="E4:E164" type="list">
      <formula1>"SDD,Accredito,Bancomat,CC moglie,Contanti,Buoni pasto,Gift card,Altro"</formula1>
      <formula2>0</formula2>
    </dataValidation>
    <dataValidation allowBlank="true" errorStyle="stop" operator="between" showDropDown="false" showErrorMessage="false" showInputMessage="false" sqref="H4:H164" type="list">
      <formula1>"Sì,No"</formula1>
      <formula2>0</formula2>
    </dataValidation>
  </dataValidations>
  <printOptions headings="false" gridLines="tru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E16" activeCellId="0" sqref="E16"/>
    </sheetView>
  </sheetViews>
  <sheetFormatPr defaultColWidth="9.7578125" defaultRowHeight="15" customHeight="true" zeroHeight="false" outlineLevelRow="0" outlineLevelCol="0"/>
  <cols>
    <col collapsed="false" customWidth="true" hidden="false" outlineLevel="0" max="1" min="1" style="0" width="13.62"/>
    <col collapsed="false" customWidth="true" hidden="false" outlineLevel="0" max="2" min="2" style="0" width="15.89"/>
    <col collapsed="false" customWidth="true" hidden="false" outlineLevel="0" max="3" min="3" style="0" width="43.14"/>
    <col collapsed="false" customWidth="true" hidden="false" outlineLevel="0" max="5" min="4" style="0" width="15.89"/>
    <col collapsed="false" customWidth="true" hidden="false" outlineLevel="0" max="6" min="6" style="0" width="9.08"/>
    <col collapsed="false" customWidth="true" hidden="false" outlineLevel="0" max="7" min="7" style="0" width="45.41"/>
    <col collapsed="false" customWidth="true" hidden="false" outlineLevel="0" max="8" min="8" style="0" width="11.35"/>
    <col collapsed="false" customWidth="true" hidden="false" outlineLevel="0" max="10" min="10" style="0" width="20.43"/>
    <col collapsed="false" customWidth="true" hidden="false" outlineLevel="0" max="11" min="11" style="0" width="18.16"/>
  </cols>
  <sheetData>
    <row r="1" customFormat="false" ht="27.75" hidden="false" customHeight="true" outlineLevel="0" collapsed="false">
      <c r="A1" s="9" t="s">
        <v>118</v>
      </c>
      <c r="B1" s="9"/>
      <c r="C1" s="9"/>
      <c r="D1" s="9"/>
      <c r="E1" s="9"/>
      <c r="F1" s="9"/>
      <c r="G1" s="9"/>
    </row>
    <row r="2" customFormat="false" ht="15" hidden="false" customHeight="false" outlineLevel="0" collapsed="false">
      <c r="F2" s="10" t="s">
        <v>63</v>
      </c>
      <c r="G2" s="4" t="n">
        <f aca="false">SUMIF($A:$A,"&lt;&gt;",$D:$D)</f>
        <v>-182</v>
      </c>
      <c r="J2" s="10" t="s">
        <v>64</v>
      </c>
      <c r="K2" s="4" t="n">
        <f aca="false">SUMIF($A:$A,"&lt;&gt;",$D:$D)</f>
        <v>-182</v>
      </c>
    </row>
    <row r="3" customFormat="false" ht="24" hidden="false" customHeight="true" outlineLevel="0" collapsed="false">
      <c r="A3" s="11" t="s">
        <v>65</v>
      </c>
      <c r="B3" s="11" t="s">
        <v>66</v>
      </c>
      <c r="C3" s="11" t="s">
        <v>67</v>
      </c>
      <c r="D3" s="11" t="s">
        <v>68</v>
      </c>
      <c r="E3" s="11" t="s">
        <v>69</v>
      </c>
      <c r="F3" s="11" t="s">
        <v>17</v>
      </c>
      <c r="G3" s="11" t="s">
        <v>70</v>
      </c>
      <c r="H3" s="11" t="s">
        <v>30</v>
      </c>
      <c r="J3" s="10" t="s">
        <v>71</v>
      </c>
      <c r="K3" s="4" t="n">
        <f aca="false">'08-Aug'!$K$3+$K$2</f>
        <v>672.45</v>
      </c>
    </row>
    <row r="4" customFormat="false" ht="18" hidden="false" customHeight="true" outlineLevel="0" collapsed="false">
      <c r="A4" s="12" t="n">
        <v>46266</v>
      </c>
      <c r="B4" s="13" t="s">
        <v>72</v>
      </c>
      <c r="C4" s="13" t="s">
        <v>73</v>
      </c>
      <c r="D4" s="14" t="n">
        <v>-742</v>
      </c>
      <c r="E4" s="13" t="s">
        <v>74</v>
      </c>
      <c r="F4" s="15" t="s">
        <v>19</v>
      </c>
      <c r="G4" s="16" t="s">
        <v>75</v>
      </c>
      <c r="H4" s="17"/>
    </row>
    <row r="5" customFormat="false" ht="18" hidden="false" customHeight="true" outlineLevel="0" collapsed="false">
      <c r="A5" s="12" t="n">
        <v>46266</v>
      </c>
      <c r="B5" s="13" t="s">
        <v>76</v>
      </c>
      <c r="C5" s="13" t="s">
        <v>77</v>
      </c>
      <c r="D5" s="14" t="n">
        <v>-38</v>
      </c>
      <c r="E5" s="13" t="s">
        <v>74</v>
      </c>
      <c r="F5" s="15" t="s">
        <v>21</v>
      </c>
      <c r="G5" s="16" t="s">
        <v>78</v>
      </c>
      <c r="H5" s="17"/>
    </row>
    <row r="6" customFormat="false" ht="18" hidden="false" customHeight="true" outlineLevel="0" collapsed="false">
      <c r="A6" s="12" t="n">
        <v>46266</v>
      </c>
      <c r="B6" s="13" t="s">
        <v>79</v>
      </c>
      <c r="C6" s="13" t="s">
        <v>80</v>
      </c>
      <c r="D6" s="14" t="n">
        <v>-154</v>
      </c>
      <c r="E6" s="13" t="s">
        <v>74</v>
      </c>
      <c r="F6" s="15" t="s">
        <v>21</v>
      </c>
      <c r="G6" s="16" t="s">
        <v>81</v>
      </c>
      <c r="H6" s="17"/>
    </row>
    <row r="7" customFormat="false" ht="18" hidden="false" customHeight="true" outlineLevel="0" collapsed="false">
      <c r="A7" s="12" t="n">
        <v>46270</v>
      </c>
      <c r="B7" s="13" t="s">
        <v>86</v>
      </c>
      <c r="C7" s="13" t="s">
        <v>40</v>
      </c>
      <c r="D7" s="14" t="n">
        <v>-170</v>
      </c>
      <c r="E7" s="13" t="s">
        <v>84</v>
      </c>
      <c r="F7" s="15" t="s">
        <v>21</v>
      </c>
      <c r="G7" s="16"/>
      <c r="H7" s="17"/>
    </row>
    <row r="8" customFormat="false" ht="18" hidden="false" customHeight="true" outlineLevel="0" collapsed="false">
      <c r="A8" s="12" t="n">
        <v>46277</v>
      </c>
      <c r="B8" s="13" t="s">
        <v>86</v>
      </c>
      <c r="C8" s="13" t="s">
        <v>40</v>
      </c>
      <c r="D8" s="14" t="n">
        <v>-170</v>
      </c>
      <c r="E8" s="13" t="s">
        <v>84</v>
      </c>
      <c r="F8" s="15" t="s">
        <v>21</v>
      </c>
      <c r="G8" s="16"/>
      <c r="H8" s="17"/>
    </row>
    <row r="9" customFormat="false" ht="18" hidden="false" customHeight="true" outlineLevel="0" collapsed="false">
      <c r="A9" s="12" t="n">
        <v>46280</v>
      </c>
      <c r="B9" s="13" t="s">
        <v>72</v>
      </c>
      <c r="C9" s="13" t="s">
        <v>87</v>
      </c>
      <c r="D9" s="14" t="n">
        <v>-218</v>
      </c>
      <c r="E9" s="13" t="s">
        <v>74</v>
      </c>
      <c r="F9" s="15" t="s">
        <v>19</v>
      </c>
      <c r="G9" s="16" t="s">
        <v>88</v>
      </c>
      <c r="H9" s="17"/>
    </row>
    <row r="10" customFormat="false" ht="18" hidden="false" customHeight="true" outlineLevel="0" collapsed="false">
      <c r="A10" s="12" t="n">
        <v>46280</v>
      </c>
      <c r="B10" s="13" t="s">
        <v>72</v>
      </c>
      <c r="C10" s="13" t="s">
        <v>89</v>
      </c>
      <c r="D10" s="14" t="n">
        <v>-545</v>
      </c>
      <c r="E10" s="13" t="s">
        <v>74</v>
      </c>
      <c r="F10" s="15" t="s">
        <v>19</v>
      </c>
      <c r="G10" s="16" t="s">
        <v>90</v>
      </c>
      <c r="H10" s="17"/>
    </row>
    <row r="11" customFormat="false" ht="18" hidden="false" customHeight="true" outlineLevel="0" collapsed="false">
      <c r="A11" s="12" t="n">
        <v>46280</v>
      </c>
      <c r="B11" s="13" t="s">
        <v>91</v>
      </c>
      <c r="C11" s="13" t="s">
        <v>92</v>
      </c>
      <c r="D11" s="14" t="n">
        <v>-31</v>
      </c>
      <c r="E11" s="13" t="s">
        <v>74</v>
      </c>
      <c r="F11" s="15" t="s">
        <v>21</v>
      </c>
      <c r="G11" s="16" t="s">
        <v>93</v>
      </c>
      <c r="H11" s="17"/>
    </row>
    <row r="12" customFormat="false" ht="18" hidden="false" customHeight="true" outlineLevel="0" collapsed="false">
      <c r="A12" s="12" t="n">
        <v>46280</v>
      </c>
      <c r="B12" s="13" t="s">
        <v>91</v>
      </c>
      <c r="C12" s="13" t="s">
        <v>94</v>
      </c>
      <c r="D12" s="14" t="n">
        <v>-14</v>
      </c>
      <c r="E12" s="13" t="s">
        <v>74</v>
      </c>
      <c r="F12" s="15" t="s">
        <v>21</v>
      </c>
      <c r="G12" s="16" t="s">
        <v>93</v>
      </c>
      <c r="H12" s="17"/>
    </row>
    <row r="13" customFormat="false" ht="18" hidden="false" customHeight="true" outlineLevel="0" collapsed="false">
      <c r="A13" s="12" t="n">
        <v>46280</v>
      </c>
      <c r="B13" s="13" t="s">
        <v>91</v>
      </c>
      <c r="C13" s="13" t="s">
        <v>95</v>
      </c>
      <c r="D13" s="14" t="n">
        <v>-120</v>
      </c>
      <c r="E13" s="13" t="s">
        <v>74</v>
      </c>
      <c r="F13" s="15" t="s">
        <v>21</v>
      </c>
      <c r="G13" s="16" t="s">
        <v>96</v>
      </c>
      <c r="H13" s="17"/>
    </row>
    <row r="14" customFormat="false" ht="18" hidden="false" customHeight="true" outlineLevel="0" collapsed="false">
      <c r="A14" s="12" t="n">
        <v>46280</v>
      </c>
      <c r="B14" s="13" t="s">
        <v>91</v>
      </c>
      <c r="C14" s="13" t="s">
        <v>97</v>
      </c>
      <c r="D14" s="14" t="n">
        <v>-20</v>
      </c>
      <c r="E14" s="13" t="s">
        <v>74</v>
      </c>
      <c r="F14" s="15" t="s">
        <v>21</v>
      </c>
      <c r="G14" s="16" t="s">
        <v>96</v>
      </c>
      <c r="H14" s="17"/>
    </row>
    <row r="15" customFormat="false" ht="19.5" hidden="false" customHeight="true" outlineLevel="0" collapsed="false">
      <c r="A15" s="12" t="n">
        <v>46284</v>
      </c>
      <c r="B15" s="13" t="s">
        <v>86</v>
      </c>
      <c r="C15" s="13" t="s">
        <v>40</v>
      </c>
      <c r="D15" s="14" t="n">
        <v>-170</v>
      </c>
      <c r="E15" s="13" t="s">
        <v>84</v>
      </c>
      <c r="F15" s="15" t="s">
        <v>21</v>
      </c>
      <c r="G15" s="16"/>
      <c r="H15" s="17"/>
    </row>
    <row r="16" customFormat="false" ht="18" hidden="false" customHeight="true" outlineLevel="0" collapsed="false">
      <c r="A16" s="12" t="n">
        <v>46291</v>
      </c>
      <c r="B16" s="13" t="s">
        <v>86</v>
      </c>
      <c r="C16" s="13" t="s">
        <v>40</v>
      </c>
      <c r="D16" s="14" t="n">
        <v>-170</v>
      </c>
      <c r="E16" s="13" t="s">
        <v>84</v>
      </c>
      <c r="F16" s="15" t="s">
        <v>21</v>
      </c>
      <c r="G16" s="16"/>
      <c r="H16" s="17"/>
    </row>
    <row r="17" customFormat="false" ht="18" hidden="false" customHeight="true" outlineLevel="0" collapsed="false">
      <c r="A17" s="12" t="n">
        <v>46292</v>
      </c>
      <c r="B17" s="13" t="s">
        <v>98</v>
      </c>
      <c r="C17" s="13" t="s">
        <v>99</v>
      </c>
      <c r="D17" s="14" t="n">
        <v>2380</v>
      </c>
      <c r="E17" s="13" t="s">
        <v>100</v>
      </c>
      <c r="F17" s="15" t="s">
        <v>19</v>
      </c>
      <c r="G17" s="16"/>
      <c r="H17" s="17"/>
    </row>
    <row r="18" customFormat="false" ht="18" hidden="false" customHeight="true" outlineLevel="0" collapsed="false">
      <c r="A18" s="12"/>
      <c r="B18" s="18"/>
      <c r="C18" s="18"/>
      <c r="D18" s="18"/>
      <c r="E18" s="18"/>
      <c r="F18" s="18"/>
      <c r="G18" s="18"/>
      <c r="H18" s="17"/>
    </row>
    <row r="19" customFormat="false" ht="18" hidden="false" customHeight="true" outlineLevel="0" collapsed="false">
      <c r="A19" s="19" t="s">
        <v>102</v>
      </c>
      <c r="B19" s="19"/>
      <c r="C19" s="19"/>
      <c r="D19" s="19"/>
      <c r="E19" s="19"/>
      <c r="F19" s="19"/>
      <c r="G19" s="19"/>
      <c r="H19" s="19"/>
    </row>
    <row r="20" customFormat="false" ht="16.4" hidden="false" customHeight="false" outlineLevel="0" collapsed="false">
      <c r="A20" s="12" t="s">
        <v>103</v>
      </c>
      <c r="B20" s="18"/>
      <c r="C20" s="18"/>
      <c r="D20" s="18"/>
      <c r="E20" s="18"/>
      <c r="F20" s="18"/>
      <c r="G20" s="18"/>
      <c r="H20" s="17"/>
    </row>
    <row r="21" customFormat="false" ht="16.4" hidden="false" customHeight="false" outlineLevel="0" collapsed="false">
      <c r="A21" s="12" t="s">
        <v>104</v>
      </c>
      <c r="B21" s="20"/>
      <c r="C21" s="21"/>
      <c r="D21" s="20"/>
      <c r="E21" s="20"/>
      <c r="F21" s="20"/>
      <c r="G21" s="21"/>
      <c r="H21" s="17"/>
    </row>
    <row r="22" customFormat="false" ht="16.4" hidden="false" customHeight="false" outlineLevel="0" collapsed="false">
      <c r="A22" s="12" t="s">
        <v>105</v>
      </c>
      <c r="B22" s="20"/>
      <c r="C22" s="20"/>
      <c r="D22" s="20"/>
      <c r="E22" s="20"/>
      <c r="F22" s="20"/>
      <c r="G22" s="21"/>
      <c r="H22" s="17"/>
    </row>
    <row r="23" customFormat="false" ht="16.4" hidden="false" customHeight="false" outlineLevel="0" collapsed="false">
      <c r="A23" s="12" t="s">
        <v>106</v>
      </c>
      <c r="B23" s="20"/>
      <c r="C23" s="21"/>
      <c r="D23" s="18"/>
      <c r="E23" s="18"/>
      <c r="F23" s="18"/>
      <c r="G23" s="18"/>
      <c r="H23" s="17"/>
    </row>
    <row r="24" customFormat="false" ht="15" hidden="false" customHeight="false" outlineLevel="0" collapsed="false">
      <c r="A24" s="12"/>
      <c r="B24" s="13"/>
      <c r="C24" s="13"/>
      <c r="D24" s="14"/>
      <c r="E24" s="13"/>
      <c r="F24" s="15"/>
      <c r="G24" s="16"/>
      <c r="H24" s="17"/>
    </row>
    <row r="25" customFormat="false" ht="16.4" hidden="false" customHeight="false" outlineLevel="0" collapsed="false">
      <c r="A25" s="12"/>
      <c r="B25" s="13"/>
      <c r="C25" s="13"/>
      <c r="D25" s="20"/>
      <c r="E25" s="20"/>
      <c r="F25" s="20"/>
      <c r="G25" s="21"/>
      <c r="H25" s="17"/>
    </row>
    <row r="26" customFormat="false" ht="15" hidden="false" customHeight="false" outlineLevel="0" collapsed="false">
      <c r="A26" s="12"/>
      <c r="B26" s="13"/>
      <c r="C26" s="13"/>
      <c r="D26" s="14"/>
      <c r="E26" s="13"/>
      <c r="F26" s="15"/>
      <c r="G26" s="16"/>
      <c r="H26" s="17"/>
    </row>
    <row r="27" customFormat="false" ht="15" hidden="false" customHeight="false" outlineLevel="0" collapsed="false">
      <c r="A27" s="12"/>
      <c r="B27" s="13"/>
      <c r="C27" s="13"/>
      <c r="D27" s="14"/>
      <c r="E27" s="13"/>
      <c r="F27" s="15"/>
      <c r="G27" s="16"/>
      <c r="H27" s="17"/>
    </row>
    <row r="28" customFormat="false" ht="15" hidden="false" customHeight="false" outlineLevel="0" collapsed="false">
      <c r="A28" s="12"/>
      <c r="B28" s="13"/>
      <c r="C28" s="13"/>
      <c r="D28" s="14"/>
      <c r="E28" s="13"/>
      <c r="F28" s="15"/>
      <c r="G28" s="16"/>
      <c r="H28" s="17"/>
    </row>
    <row r="29" customFormat="false" ht="15" hidden="false" customHeight="false" outlineLevel="0" collapsed="false">
      <c r="A29" s="12"/>
      <c r="B29" s="13"/>
      <c r="C29" s="13"/>
      <c r="D29" s="14"/>
      <c r="E29" s="13"/>
      <c r="F29" s="15"/>
      <c r="G29" s="16"/>
      <c r="H29" s="17"/>
    </row>
    <row r="30" customFormat="false" ht="15" hidden="false" customHeight="false" outlineLevel="0" collapsed="false">
      <c r="A30" s="12"/>
      <c r="B30" s="13"/>
      <c r="C30" s="13"/>
      <c r="D30" s="14"/>
      <c r="E30" s="13"/>
      <c r="F30" s="15"/>
      <c r="G30" s="16"/>
      <c r="H30" s="17"/>
    </row>
    <row r="31" customFormat="false" ht="15" hidden="false" customHeight="false" outlineLevel="0" collapsed="false">
      <c r="A31" s="12"/>
      <c r="B31" s="13"/>
      <c r="C31" s="13"/>
      <c r="D31" s="14"/>
      <c r="E31" s="13"/>
      <c r="F31" s="15"/>
      <c r="G31" s="16"/>
      <c r="H31" s="17"/>
    </row>
    <row r="32" customFormat="false" ht="15" hidden="false" customHeight="false" outlineLevel="0" collapsed="false">
      <c r="A32" s="12"/>
      <c r="B32" s="13"/>
      <c r="C32" s="13"/>
      <c r="D32" s="14"/>
      <c r="E32" s="13"/>
      <c r="F32" s="15"/>
      <c r="G32" s="16"/>
      <c r="H32" s="17"/>
    </row>
    <row r="33" customFormat="false" ht="15" hidden="false" customHeight="false" outlineLevel="0" collapsed="false">
      <c r="A33" s="12"/>
      <c r="B33" s="13"/>
      <c r="C33" s="13"/>
      <c r="D33" s="14"/>
      <c r="E33" s="13"/>
      <c r="F33" s="15"/>
      <c r="G33" s="16"/>
      <c r="H33" s="17"/>
    </row>
    <row r="34" customFormat="false" ht="15" hidden="false" customHeight="false" outlineLevel="0" collapsed="false">
      <c r="A34" s="12"/>
      <c r="B34" s="13"/>
      <c r="C34" s="13"/>
      <c r="D34" s="14"/>
      <c r="E34" s="13"/>
      <c r="F34" s="15"/>
      <c r="G34" s="16"/>
      <c r="H34" s="17"/>
    </row>
    <row r="35" customFormat="false" ht="15" hidden="false" customHeight="false" outlineLevel="0" collapsed="false">
      <c r="A35" s="12"/>
      <c r="B35" s="13"/>
      <c r="C35" s="13"/>
      <c r="D35" s="14"/>
      <c r="E35" s="13"/>
      <c r="F35" s="15"/>
      <c r="G35" s="16"/>
      <c r="H35" s="17"/>
    </row>
    <row r="36" customFormat="false" ht="15" hidden="false" customHeight="false" outlineLevel="0" collapsed="false">
      <c r="A36" s="12"/>
      <c r="B36" s="13"/>
      <c r="C36" s="13"/>
      <c r="D36" s="14"/>
      <c r="E36" s="13"/>
      <c r="F36" s="15"/>
      <c r="G36" s="16"/>
      <c r="H36" s="17"/>
    </row>
    <row r="37" customFormat="false" ht="15" hidden="false" customHeight="false" outlineLevel="0" collapsed="false">
      <c r="A37" s="12"/>
      <c r="B37" s="13"/>
      <c r="C37" s="13"/>
      <c r="D37" s="14"/>
      <c r="E37" s="13"/>
      <c r="F37" s="15"/>
      <c r="G37" s="16"/>
      <c r="H37" s="17"/>
    </row>
    <row r="38" customFormat="false" ht="15" hidden="false" customHeight="false" outlineLevel="0" collapsed="false">
      <c r="A38" s="12"/>
      <c r="B38" s="13"/>
      <c r="C38" s="13"/>
      <c r="D38" s="14"/>
      <c r="E38" s="13"/>
      <c r="F38" s="15"/>
      <c r="G38" s="16"/>
      <c r="H38" s="17"/>
    </row>
    <row r="39" customFormat="false" ht="15" hidden="false" customHeight="false" outlineLevel="0" collapsed="false">
      <c r="A39" s="12"/>
      <c r="B39" s="13"/>
      <c r="C39" s="13"/>
      <c r="D39" s="14"/>
      <c r="E39" s="13"/>
      <c r="F39" s="15"/>
      <c r="G39" s="16"/>
      <c r="H39" s="17"/>
    </row>
    <row r="40" customFormat="false" ht="15" hidden="false" customHeight="false" outlineLevel="0" collapsed="false">
      <c r="A40" s="12"/>
      <c r="B40" s="13"/>
      <c r="C40" s="13"/>
      <c r="D40" s="14"/>
      <c r="E40" s="13"/>
      <c r="F40" s="15"/>
      <c r="G40" s="16"/>
      <c r="H40" s="17"/>
    </row>
    <row r="41" customFormat="false" ht="15" hidden="false" customHeight="false" outlineLevel="0" collapsed="false">
      <c r="A41" s="12"/>
      <c r="B41" s="13"/>
      <c r="C41" s="13"/>
      <c r="D41" s="14"/>
      <c r="E41" s="13"/>
      <c r="F41" s="15"/>
      <c r="G41" s="16"/>
      <c r="H41" s="17"/>
    </row>
    <row r="42" customFormat="false" ht="15" hidden="false" customHeight="false" outlineLevel="0" collapsed="false">
      <c r="A42" s="12"/>
      <c r="B42" s="13"/>
      <c r="C42" s="13"/>
      <c r="D42" s="14"/>
      <c r="E42" s="13"/>
      <c r="F42" s="15"/>
      <c r="G42" s="16"/>
      <c r="H42" s="17"/>
    </row>
    <row r="43" customFormat="false" ht="15" hidden="false" customHeight="false" outlineLevel="0" collapsed="false">
      <c r="A43" s="12"/>
      <c r="B43" s="13"/>
      <c r="C43" s="13"/>
      <c r="D43" s="14"/>
      <c r="E43" s="13"/>
      <c r="F43" s="15"/>
      <c r="G43" s="16"/>
      <c r="H43" s="17"/>
    </row>
    <row r="44" customFormat="false" ht="15" hidden="false" customHeight="false" outlineLevel="0" collapsed="false">
      <c r="A44" s="12"/>
      <c r="B44" s="13"/>
      <c r="C44" s="13"/>
      <c r="D44" s="14"/>
      <c r="E44" s="13"/>
      <c r="F44" s="15"/>
      <c r="G44" s="16"/>
      <c r="H44" s="17"/>
    </row>
    <row r="45" customFormat="false" ht="15" hidden="false" customHeight="false" outlineLevel="0" collapsed="false">
      <c r="A45" s="12"/>
      <c r="B45" s="13"/>
      <c r="C45" s="13"/>
      <c r="D45" s="14"/>
      <c r="E45" s="13"/>
      <c r="F45" s="15"/>
      <c r="G45" s="16"/>
      <c r="H45" s="17"/>
    </row>
    <row r="46" customFormat="false" ht="15" hidden="false" customHeight="false" outlineLevel="0" collapsed="false">
      <c r="A46" s="12"/>
      <c r="B46" s="13"/>
      <c r="C46" s="13"/>
      <c r="D46" s="14"/>
      <c r="E46" s="13"/>
      <c r="F46" s="15"/>
      <c r="G46" s="16"/>
      <c r="H46" s="17"/>
    </row>
    <row r="47" customFormat="false" ht="15" hidden="false" customHeight="false" outlineLevel="0" collapsed="false">
      <c r="A47" s="12"/>
      <c r="B47" s="13"/>
      <c r="C47" s="13"/>
      <c r="D47" s="14"/>
      <c r="E47" s="13"/>
      <c r="F47" s="15"/>
      <c r="G47" s="16"/>
      <c r="H47" s="17"/>
    </row>
    <row r="48" customFormat="false" ht="15" hidden="false" customHeight="false" outlineLevel="0" collapsed="false">
      <c r="A48" s="12"/>
      <c r="B48" s="13"/>
      <c r="C48" s="13"/>
      <c r="D48" s="14"/>
      <c r="E48" s="13"/>
      <c r="F48" s="15"/>
      <c r="G48" s="16"/>
      <c r="H48" s="17"/>
    </row>
    <row r="49" customFormat="false" ht="15" hidden="false" customHeight="false" outlineLevel="0" collapsed="false">
      <c r="A49" s="12"/>
      <c r="B49" s="13"/>
      <c r="C49" s="13"/>
      <c r="D49" s="14"/>
      <c r="E49" s="13"/>
      <c r="F49" s="15"/>
      <c r="G49" s="16"/>
      <c r="H49" s="17"/>
    </row>
    <row r="50" customFormat="false" ht="15" hidden="false" customHeight="false" outlineLevel="0" collapsed="false">
      <c r="A50" s="12"/>
      <c r="B50" s="13"/>
      <c r="C50" s="13"/>
      <c r="D50" s="14"/>
      <c r="E50" s="13"/>
      <c r="F50" s="15"/>
      <c r="G50" s="16"/>
      <c r="H50" s="17"/>
    </row>
    <row r="51" customFormat="false" ht="15" hidden="false" customHeight="false" outlineLevel="0" collapsed="false">
      <c r="A51" s="12"/>
      <c r="B51" s="13"/>
      <c r="C51" s="13"/>
      <c r="D51" s="14"/>
      <c r="E51" s="13"/>
      <c r="F51" s="15"/>
      <c r="G51" s="16"/>
      <c r="H51" s="17"/>
    </row>
    <row r="52" customFormat="false" ht="15" hidden="false" customHeight="false" outlineLevel="0" collapsed="false">
      <c r="A52" s="12"/>
      <c r="B52" s="13"/>
      <c r="C52" s="13"/>
      <c r="D52" s="14"/>
      <c r="E52" s="13"/>
      <c r="F52" s="15"/>
      <c r="G52" s="16"/>
      <c r="H52" s="17"/>
    </row>
    <row r="53" customFormat="false" ht="15" hidden="false" customHeight="false" outlineLevel="0" collapsed="false">
      <c r="A53" s="12"/>
      <c r="B53" s="13"/>
      <c r="C53" s="13"/>
      <c r="D53" s="14"/>
      <c r="E53" s="13"/>
      <c r="F53" s="15"/>
      <c r="G53" s="16"/>
      <c r="H53" s="17"/>
    </row>
    <row r="54" customFormat="false" ht="15" hidden="false" customHeight="false" outlineLevel="0" collapsed="false">
      <c r="A54" s="12"/>
      <c r="B54" s="13"/>
      <c r="C54" s="13"/>
      <c r="D54" s="14"/>
      <c r="E54" s="13"/>
      <c r="F54" s="15"/>
      <c r="G54" s="16"/>
      <c r="H54" s="17"/>
    </row>
    <row r="55" customFormat="false" ht="15" hidden="false" customHeight="false" outlineLevel="0" collapsed="false">
      <c r="A55" s="12"/>
      <c r="B55" s="13"/>
      <c r="C55" s="13"/>
      <c r="D55" s="14"/>
      <c r="E55" s="13"/>
      <c r="F55" s="15"/>
      <c r="G55" s="16"/>
      <c r="H55" s="17"/>
    </row>
    <row r="56" customFormat="false" ht="15" hidden="false" customHeight="false" outlineLevel="0" collapsed="false">
      <c r="A56" s="12"/>
      <c r="B56" s="13"/>
      <c r="C56" s="13"/>
      <c r="D56" s="14"/>
      <c r="E56" s="13"/>
      <c r="F56" s="15"/>
      <c r="G56" s="16"/>
      <c r="H56" s="17"/>
    </row>
    <row r="57" customFormat="false" ht="15" hidden="false" customHeight="false" outlineLevel="0" collapsed="false">
      <c r="A57" s="12"/>
      <c r="B57" s="13"/>
      <c r="C57" s="13"/>
      <c r="D57" s="14"/>
      <c r="E57" s="13"/>
      <c r="F57" s="15"/>
      <c r="G57" s="16"/>
      <c r="H57" s="17"/>
    </row>
    <row r="58" customFormat="false" ht="15" hidden="false" customHeight="false" outlineLevel="0" collapsed="false">
      <c r="A58" s="12"/>
      <c r="B58" s="13"/>
      <c r="C58" s="13"/>
      <c r="D58" s="14"/>
      <c r="E58" s="13"/>
      <c r="F58" s="15"/>
      <c r="G58" s="16"/>
      <c r="H58" s="17"/>
    </row>
    <row r="59" customFormat="false" ht="15" hidden="false" customHeight="false" outlineLevel="0" collapsed="false">
      <c r="A59" s="12"/>
      <c r="B59" s="13"/>
      <c r="C59" s="13"/>
      <c r="D59" s="14"/>
      <c r="E59" s="13"/>
      <c r="F59" s="15"/>
      <c r="G59" s="16"/>
      <c r="H59" s="17"/>
    </row>
    <row r="60" customFormat="false" ht="15" hidden="false" customHeight="false" outlineLevel="0" collapsed="false">
      <c r="A60" s="12"/>
      <c r="B60" s="13"/>
      <c r="C60" s="13"/>
      <c r="D60" s="14"/>
      <c r="E60" s="13"/>
      <c r="F60" s="15"/>
      <c r="G60" s="16"/>
      <c r="H60" s="17"/>
    </row>
    <row r="61" customFormat="false" ht="15" hidden="false" customHeight="false" outlineLevel="0" collapsed="false">
      <c r="A61" s="12"/>
      <c r="B61" s="13"/>
      <c r="C61" s="13"/>
      <c r="D61" s="14"/>
      <c r="E61" s="13"/>
      <c r="F61" s="15"/>
      <c r="G61" s="16"/>
      <c r="H61" s="17"/>
    </row>
    <row r="62" customFormat="false" ht="15" hidden="false" customHeight="false" outlineLevel="0" collapsed="false">
      <c r="A62" s="12"/>
      <c r="B62" s="13"/>
      <c r="C62" s="13"/>
      <c r="D62" s="14"/>
      <c r="E62" s="13"/>
      <c r="F62" s="15"/>
      <c r="G62" s="16"/>
      <c r="H62" s="17"/>
    </row>
    <row r="63" customFormat="false" ht="15" hidden="false" customHeight="false" outlineLevel="0" collapsed="false">
      <c r="A63" s="12"/>
      <c r="B63" s="13"/>
      <c r="C63" s="13"/>
      <c r="D63" s="14"/>
      <c r="E63" s="13"/>
      <c r="F63" s="15"/>
      <c r="G63" s="16"/>
      <c r="H63" s="17"/>
    </row>
    <row r="64" customFormat="false" ht="15" hidden="false" customHeight="false" outlineLevel="0" collapsed="false">
      <c r="A64" s="12"/>
      <c r="B64" s="13"/>
      <c r="C64" s="13"/>
      <c r="D64" s="14"/>
      <c r="E64" s="13"/>
      <c r="F64" s="15"/>
      <c r="G64" s="16"/>
      <c r="H64" s="17"/>
    </row>
    <row r="65" customFormat="false" ht="15" hidden="false" customHeight="false" outlineLevel="0" collapsed="false">
      <c r="A65" s="12"/>
      <c r="B65" s="22"/>
      <c r="C65" s="22"/>
      <c r="D65" s="14"/>
      <c r="E65" s="22"/>
      <c r="F65" s="17"/>
      <c r="G65" s="23"/>
      <c r="H65" s="17"/>
    </row>
    <row r="66" customFormat="false" ht="15" hidden="false" customHeight="false" outlineLevel="0" collapsed="false">
      <c r="A66" s="12"/>
      <c r="B66" s="22"/>
      <c r="C66" s="22"/>
      <c r="D66" s="14"/>
      <c r="E66" s="22"/>
      <c r="F66" s="17"/>
      <c r="G66" s="23"/>
      <c r="H66" s="17"/>
    </row>
  </sheetData>
  <sheetProtection sheet="true" formatCells="false"/>
  <autoFilter ref="A3:H164"/>
  <mergeCells count="2">
    <mergeCell ref="A1:G1"/>
    <mergeCell ref="A19:H19"/>
  </mergeCells>
  <conditionalFormatting sqref="A4:G64">
    <cfRule type="cellIs" priority="2" operator="equal" aboveAverage="0" equalAverage="0" bottom="0" percent="0" rank="0" text="" dxfId="8">
      <formula>"A"</formula>
    </cfRule>
    <cfRule type="expression" priority="3" aboveAverage="0" equalAverage="0" bottom="0" percent="0" rank="0" text="" dxfId="8">
      <formula>$F4="A"</formula>
    </cfRule>
    <cfRule type="expression" priority="4" aboveAverage="0" equalAverage="0" bottom="0" percent="0" rank="0" text="" dxfId="9">
      <formula>$F4="B"</formula>
    </cfRule>
    <cfRule type="expression" priority="5" aboveAverage="0" equalAverage="0" bottom="0" percent="0" rank="0" text="" dxfId="10">
      <formula>$F4="C"</formula>
    </cfRule>
  </conditionalFormatting>
  <dataValidations count="3">
    <dataValidation allowBlank="true" errorStyle="stop" operator="between" showDropDown="false" showErrorMessage="false" showInputMessage="false" sqref="F4:F164" type="list">
      <formula1>"A,B,C,—"</formula1>
      <formula2>0</formula2>
    </dataValidation>
    <dataValidation allowBlank="true" errorStyle="stop" operator="between" showDropDown="false" showErrorMessage="false" showInputMessage="false" sqref="E4:E164" type="list">
      <formula1>"SDD,Accredito,Bancomat,CC moglie,Contanti,Buoni pasto,Gift card,Altro"</formula1>
      <formula2>0</formula2>
    </dataValidation>
    <dataValidation allowBlank="true" errorStyle="stop" operator="between" showDropDown="false" showErrorMessage="false" showInputMessage="false" sqref="H4:H164" type="list">
      <formula1>"Sì,No"</formula1>
      <formula2>0</formula2>
    </dataValidation>
  </dataValidations>
  <printOptions headings="false" gridLines="tru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E17" activeCellId="0" sqref="E17"/>
    </sheetView>
  </sheetViews>
  <sheetFormatPr defaultColWidth="9.7578125" defaultRowHeight="15" customHeight="true" zeroHeight="false" outlineLevelRow="0" outlineLevelCol="0"/>
  <cols>
    <col collapsed="false" customWidth="true" hidden="false" outlineLevel="0" max="1" min="1" style="0" width="13.62"/>
    <col collapsed="false" customWidth="true" hidden="false" outlineLevel="0" max="2" min="2" style="0" width="15.89"/>
    <col collapsed="false" customWidth="true" hidden="false" outlineLevel="0" max="3" min="3" style="0" width="43.14"/>
    <col collapsed="false" customWidth="true" hidden="false" outlineLevel="0" max="5" min="4" style="0" width="15.89"/>
    <col collapsed="false" customWidth="true" hidden="false" outlineLevel="0" max="6" min="6" style="0" width="9.08"/>
    <col collapsed="false" customWidth="true" hidden="false" outlineLevel="0" max="7" min="7" style="0" width="45.41"/>
    <col collapsed="false" customWidth="true" hidden="false" outlineLevel="0" max="8" min="8" style="0" width="11.35"/>
    <col collapsed="false" customWidth="true" hidden="false" outlineLevel="0" max="10" min="10" style="0" width="20.43"/>
    <col collapsed="false" customWidth="true" hidden="false" outlineLevel="0" max="11" min="11" style="0" width="18.16"/>
  </cols>
  <sheetData>
    <row r="1" customFormat="false" ht="27.75" hidden="false" customHeight="true" outlineLevel="0" collapsed="false">
      <c r="A1" s="9" t="s">
        <v>119</v>
      </c>
      <c r="B1" s="9"/>
      <c r="C1" s="9"/>
      <c r="D1" s="9"/>
      <c r="E1" s="9"/>
      <c r="F1" s="9"/>
      <c r="G1" s="9"/>
    </row>
    <row r="2" customFormat="false" ht="15" hidden="false" customHeight="false" outlineLevel="0" collapsed="false">
      <c r="F2" s="10" t="s">
        <v>63</v>
      </c>
      <c r="G2" s="4" t="n">
        <f aca="false">SUMIF($A:$A,"&lt;&gt;",$D:$D)</f>
        <v>-198</v>
      </c>
      <c r="J2" s="10" t="s">
        <v>64</v>
      </c>
      <c r="K2" s="4" t="n">
        <f aca="false">SUMIF($A:$A,"&lt;&gt;",$D:$D)</f>
        <v>-198</v>
      </c>
    </row>
    <row r="3" customFormat="false" ht="24" hidden="false" customHeight="true" outlineLevel="0" collapsed="false">
      <c r="A3" s="11" t="s">
        <v>65</v>
      </c>
      <c r="B3" s="11" t="s">
        <v>66</v>
      </c>
      <c r="C3" s="11" t="s">
        <v>67</v>
      </c>
      <c r="D3" s="11" t="s">
        <v>68</v>
      </c>
      <c r="E3" s="11" t="s">
        <v>69</v>
      </c>
      <c r="F3" s="11" t="s">
        <v>17</v>
      </c>
      <c r="G3" s="11" t="s">
        <v>70</v>
      </c>
      <c r="H3" s="11" t="s">
        <v>30</v>
      </c>
      <c r="J3" s="10" t="s">
        <v>71</v>
      </c>
      <c r="K3" s="4" t="n">
        <f aca="false">'09-Sep'!$K$3+$K$2</f>
        <v>474.45</v>
      </c>
    </row>
    <row r="4" customFormat="false" ht="18" hidden="false" customHeight="true" outlineLevel="0" collapsed="false">
      <c r="A4" s="12" t="n">
        <v>46296</v>
      </c>
      <c r="B4" s="13" t="s">
        <v>72</v>
      </c>
      <c r="C4" s="13" t="s">
        <v>73</v>
      </c>
      <c r="D4" s="14" t="n">
        <v>-742</v>
      </c>
      <c r="E4" s="13" t="s">
        <v>74</v>
      </c>
      <c r="F4" s="15" t="s">
        <v>19</v>
      </c>
      <c r="G4" s="16" t="s">
        <v>75</v>
      </c>
      <c r="H4" s="17"/>
    </row>
    <row r="5" customFormat="false" ht="18" hidden="false" customHeight="true" outlineLevel="0" collapsed="false">
      <c r="A5" s="12" t="n">
        <v>46296</v>
      </c>
      <c r="B5" s="13" t="s">
        <v>76</v>
      </c>
      <c r="C5" s="13" t="s">
        <v>77</v>
      </c>
      <c r="D5" s="14" t="n">
        <v>-38</v>
      </c>
      <c r="E5" s="13" t="s">
        <v>74</v>
      </c>
      <c r="F5" s="15" t="s">
        <v>21</v>
      </c>
      <c r="G5" s="16" t="s">
        <v>78</v>
      </c>
      <c r="H5" s="17"/>
    </row>
    <row r="6" customFormat="false" ht="18" hidden="false" customHeight="true" outlineLevel="0" collapsed="false">
      <c r="A6" s="12" t="n">
        <v>46298</v>
      </c>
      <c r="B6" s="13" t="s">
        <v>86</v>
      </c>
      <c r="C6" s="13" t="s">
        <v>40</v>
      </c>
      <c r="D6" s="14" t="n">
        <v>-170</v>
      </c>
      <c r="E6" s="13" t="s">
        <v>84</v>
      </c>
      <c r="F6" s="15" t="s">
        <v>21</v>
      </c>
      <c r="G6" s="16"/>
      <c r="H6" s="17"/>
    </row>
    <row r="7" customFormat="false" ht="18" hidden="false" customHeight="true" outlineLevel="0" collapsed="false">
      <c r="A7" s="12" t="n">
        <v>46305</v>
      </c>
      <c r="B7" s="13" t="s">
        <v>86</v>
      </c>
      <c r="C7" s="13" t="s">
        <v>40</v>
      </c>
      <c r="D7" s="14" t="n">
        <v>-170</v>
      </c>
      <c r="E7" s="13" t="s">
        <v>84</v>
      </c>
      <c r="F7" s="15" t="s">
        <v>21</v>
      </c>
      <c r="G7" s="16"/>
      <c r="H7" s="17"/>
    </row>
    <row r="8" customFormat="false" ht="18" hidden="false" customHeight="true" outlineLevel="0" collapsed="false">
      <c r="A8" s="12" t="n">
        <v>46310</v>
      </c>
      <c r="B8" s="13" t="s">
        <v>72</v>
      </c>
      <c r="C8" s="13" t="s">
        <v>87</v>
      </c>
      <c r="D8" s="14" t="n">
        <v>-218</v>
      </c>
      <c r="E8" s="13" t="s">
        <v>74</v>
      </c>
      <c r="F8" s="15" t="s">
        <v>19</v>
      </c>
      <c r="G8" s="16" t="s">
        <v>88</v>
      </c>
      <c r="H8" s="17"/>
    </row>
    <row r="9" customFormat="false" ht="18" hidden="false" customHeight="true" outlineLevel="0" collapsed="false">
      <c r="A9" s="12" t="n">
        <v>46310</v>
      </c>
      <c r="B9" s="13" t="s">
        <v>72</v>
      </c>
      <c r="C9" s="13" t="s">
        <v>89</v>
      </c>
      <c r="D9" s="14" t="n">
        <v>-545</v>
      </c>
      <c r="E9" s="13" t="s">
        <v>74</v>
      </c>
      <c r="F9" s="15" t="s">
        <v>19</v>
      </c>
      <c r="G9" s="16" t="s">
        <v>90</v>
      </c>
      <c r="H9" s="17"/>
    </row>
    <row r="10" customFormat="false" ht="18" hidden="false" customHeight="true" outlineLevel="0" collapsed="false">
      <c r="A10" s="12" t="n">
        <v>46310</v>
      </c>
      <c r="B10" s="13" t="s">
        <v>91</v>
      </c>
      <c r="C10" s="13" t="s">
        <v>92</v>
      </c>
      <c r="D10" s="14" t="n">
        <v>-31</v>
      </c>
      <c r="E10" s="13" t="s">
        <v>74</v>
      </c>
      <c r="F10" s="15" t="s">
        <v>21</v>
      </c>
      <c r="G10" s="16" t="s">
        <v>93</v>
      </c>
      <c r="H10" s="17"/>
    </row>
    <row r="11" customFormat="false" ht="18" hidden="false" customHeight="true" outlineLevel="0" collapsed="false">
      <c r="A11" s="12" t="n">
        <v>46310</v>
      </c>
      <c r="B11" s="13" t="s">
        <v>91</v>
      </c>
      <c r="C11" s="13" t="s">
        <v>94</v>
      </c>
      <c r="D11" s="14" t="n">
        <v>-14</v>
      </c>
      <c r="E11" s="13" t="s">
        <v>74</v>
      </c>
      <c r="F11" s="15" t="s">
        <v>21</v>
      </c>
      <c r="G11" s="16" t="s">
        <v>93</v>
      </c>
      <c r="H11" s="17"/>
    </row>
    <row r="12" customFormat="false" ht="18" hidden="false" customHeight="true" outlineLevel="0" collapsed="false">
      <c r="A12" s="12" t="n">
        <v>46310</v>
      </c>
      <c r="B12" s="13" t="s">
        <v>91</v>
      </c>
      <c r="C12" s="13" t="s">
        <v>95</v>
      </c>
      <c r="D12" s="14" t="n">
        <v>-120</v>
      </c>
      <c r="E12" s="13" t="s">
        <v>74</v>
      </c>
      <c r="F12" s="15" t="s">
        <v>21</v>
      </c>
      <c r="G12" s="16" t="s">
        <v>96</v>
      </c>
      <c r="H12" s="17"/>
    </row>
    <row r="13" customFormat="false" ht="18" hidden="false" customHeight="true" outlineLevel="0" collapsed="false">
      <c r="A13" s="12" t="n">
        <v>46310</v>
      </c>
      <c r="B13" s="13" t="s">
        <v>91</v>
      </c>
      <c r="C13" s="13" t="s">
        <v>97</v>
      </c>
      <c r="D13" s="14" t="n">
        <v>-20</v>
      </c>
      <c r="E13" s="13" t="s">
        <v>74</v>
      </c>
      <c r="F13" s="15" t="s">
        <v>21</v>
      </c>
      <c r="G13" s="16" t="s">
        <v>96</v>
      </c>
      <c r="H13" s="17"/>
    </row>
    <row r="14" customFormat="false" ht="18" hidden="false" customHeight="true" outlineLevel="0" collapsed="false">
      <c r="A14" s="12" t="n">
        <v>46312</v>
      </c>
      <c r="B14" s="13" t="s">
        <v>86</v>
      </c>
      <c r="C14" s="13" t="s">
        <v>40</v>
      </c>
      <c r="D14" s="14" t="n">
        <v>-170</v>
      </c>
      <c r="E14" s="13" t="s">
        <v>84</v>
      </c>
      <c r="F14" s="15" t="s">
        <v>21</v>
      </c>
      <c r="G14" s="16"/>
      <c r="H14" s="17"/>
    </row>
    <row r="15" customFormat="false" ht="19.5" hidden="false" customHeight="true" outlineLevel="0" collapsed="false">
      <c r="A15" s="12" t="n">
        <v>46319</v>
      </c>
      <c r="B15" s="13" t="s">
        <v>86</v>
      </c>
      <c r="C15" s="13" t="s">
        <v>40</v>
      </c>
      <c r="D15" s="14" t="n">
        <v>-170</v>
      </c>
      <c r="E15" s="13" t="s">
        <v>84</v>
      </c>
      <c r="F15" s="15" t="s">
        <v>21</v>
      </c>
      <c r="G15" s="16"/>
      <c r="H15" s="17"/>
    </row>
    <row r="16" customFormat="false" ht="18" hidden="false" customHeight="true" outlineLevel="0" collapsed="false">
      <c r="A16" s="12" t="n">
        <v>46322</v>
      </c>
      <c r="B16" s="13" t="s">
        <v>98</v>
      </c>
      <c r="C16" s="13" t="s">
        <v>99</v>
      </c>
      <c r="D16" s="14" t="n">
        <v>2380</v>
      </c>
      <c r="E16" s="13" t="s">
        <v>100</v>
      </c>
      <c r="F16" s="15" t="s">
        <v>19</v>
      </c>
      <c r="G16" s="16"/>
      <c r="H16" s="17"/>
    </row>
    <row r="17" customFormat="false" ht="18" hidden="false" customHeight="true" outlineLevel="0" collapsed="false">
      <c r="A17" s="12" t="n">
        <v>46326</v>
      </c>
      <c r="B17" s="13" t="s">
        <v>86</v>
      </c>
      <c r="C17" s="13" t="s">
        <v>40</v>
      </c>
      <c r="D17" s="14" t="n">
        <v>-170</v>
      </c>
      <c r="E17" s="13" t="s">
        <v>101</v>
      </c>
      <c r="F17" s="15" t="s">
        <v>21</v>
      </c>
      <c r="G17" s="16"/>
      <c r="H17" s="17"/>
    </row>
    <row r="18" customFormat="false" ht="18" hidden="false" customHeight="true" outlineLevel="0" collapsed="false">
      <c r="A18" s="12"/>
      <c r="B18" s="18"/>
      <c r="C18" s="18"/>
      <c r="D18" s="18"/>
      <c r="E18" s="18"/>
      <c r="F18" s="18"/>
      <c r="G18" s="18"/>
      <c r="H18" s="17"/>
    </row>
    <row r="19" customFormat="false" ht="18" hidden="false" customHeight="true" outlineLevel="0" collapsed="false">
      <c r="A19" s="19" t="s">
        <v>102</v>
      </c>
      <c r="B19" s="19"/>
      <c r="C19" s="19"/>
      <c r="D19" s="19"/>
      <c r="E19" s="19"/>
      <c r="F19" s="19"/>
      <c r="G19" s="19"/>
      <c r="H19" s="19"/>
    </row>
    <row r="20" customFormat="false" ht="16.4" hidden="false" customHeight="false" outlineLevel="0" collapsed="false">
      <c r="A20" s="12" t="s">
        <v>103</v>
      </c>
      <c r="B20" s="18"/>
      <c r="C20" s="18"/>
      <c r="D20" s="18"/>
      <c r="E20" s="18"/>
      <c r="F20" s="18"/>
      <c r="G20" s="18"/>
      <c r="H20" s="17"/>
    </row>
    <row r="21" customFormat="false" ht="16.4" hidden="false" customHeight="false" outlineLevel="0" collapsed="false">
      <c r="A21" s="12" t="s">
        <v>104</v>
      </c>
      <c r="B21" s="20"/>
      <c r="C21" s="21"/>
      <c r="D21" s="20"/>
      <c r="E21" s="20"/>
      <c r="F21" s="20"/>
      <c r="G21" s="21"/>
      <c r="H21" s="17"/>
    </row>
    <row r="22" customFormat="false" ht="16.4" hidden="false" customHeight="false" outlineLevel="0" collapsed="false">
      <c r="A22" s="12" t="s">
        <v>105</v>
      </c>
      <c r="B22" s="20"/>
      <c r="C22" s="20"/>
      <c r="D22" s="20"/>
      <c r="E22" s="20"/>
      <c r="F22" s="20"/>
      <c r="G22" s="21"/>
      <c r="H22" s="17"/>
    </row>
    <row r="23" customFormat="false" ht="16.4" hidden="false" customHeight="false" outlineLevel="0" collapsed="false">
      <c r="A23" s="12" t="s">
        <v>106</v>
      </c>
      <c r="B23" s="20"/>
      <c r="C23" s="21"/>
      <c r="D23" s="18"/>
      <c r="E23" s="18"/>
      <c r="F23" s="18"/>
      <c r="G23" s="18"/>
      <c r="H23" s="17"/>
    </row>
    <row r="24" customFormat="false" ht="15" hidden="false" customHeight="false" outlineLevel="0" collapsed="false">
      <c r="A24" s="12"/>
      <c r="B24" s="20"/>
      <c r="C24" s="20"/>
      <c r="D24" s="20"/>
      <c r="E24" s="20"/>
      <c r="F24" s="20"/>
      <c r="G24" s="21"/>
      <c r="H24" s="17"/>
    </row>
    <row r="25" customFormat="false" ht="16.4" hidden="false" customHeight="false" outlineLevel="0" collapsed="false">
      <c r="A25" s="12"/>
      <c r="B25" s="13"/>
      <c r="C25" s="13"/>
      <c r="D25" s="20"/>
      <c r="E25" s="20"/>
      <c r="F25" s="20"/>
      <c r="G25" s="21"/>
      <c r="H25" s="17"/>
    </row>
    <row r="26" customFormat="false" ht="15" hidden="false" customHeight="false" outlineLevel="0" collapsed="false">
      <c r="A26" s="12"/>
      <c r="B26" s="13"/>
      <c r="C26" s="13"/>
      <c r="D26" s="20"/>
      <c r="E26" s="20"/>
      <c r="F26" s="20"/>
      <c r="G26" s="21"/>
      <c r="H26" s="17"/>
    </row>
    <row r="27" customFormat="false" ht="15" hidden="false" customHeight="false" outlineLevel="0" collapsed="false">
      <c r="A27" s="12"/>
      <c r="B27" s="13"/>
      <c r="C27" s="13"/>
      <c r="D27" s="14"/>
      <c r="E27" s="13"/>
      <c r="F27" s="15"/>
      <c r="G27" s="16"/>
      <c r="H27" s="17"/>
    </row>
    <row r="28" customFormat="false" ht="15" hidden="false" customHeight="false" outlineLevel="0" collapsed="false">
      <c r="A28" s="12"/>
      <c r="B28" s="13"/>
      <c r="C28" s="13"/>
      <c r="D28" s="14"/>
      <c r="E28" s="13"/>
      <c r="F28" s="15"/>
      <c r="G28" s="16"/>
      <c r="H28" s="17"/>
    </row>
    <row r="29" customFormat="false" ht="15" hidden="false" customHeight="false" outlineLevel="0" collapsed="false">
      <c r="A29" s="12"/>
      <c r="B29" s="13"/>
      <c r="C29" s="13"/>
      <c r="D29" s="14"/>
      <c r="E29" s="13"/>
      <c r="F29" s="15"/>
      <c r="G29" s="16"/>
      <c r="H29" s="17"/>
    </row>
    <row r="30" customFormat="false" ht="15" hidden="false" customHeight="false" outlineLevel="0" collapsed="false">
      <c r="A30" s="12"/>
      <c r="B30" s="13"/>
      <c r="C30" s="13"/>
      <c r="D30" s="14"/>
      <c r="E30" s="13"/>
      <c r="F30" s="15"/>
      <c r="G30" s="16"/>
      <c r="H30" s="17"/>
    </row>
    <row r="31" customFormat="false" ht="15" hidden="false" customHeight="false" outlineLevel="0" collapsed="false">
      <c r="A31" s="12"/>
      <c r="B31" s="13"/>
      <c r="C31" s="13"/>
      <c r="D31" s="14"/>
      <c r="E31" s="13"/>
      <c r="F31" s="15"/>
      <c r="G31" s="16"/>
      <c r="H31" s="17"/>
    </row>
    <row r="32" customFormat="false" ht="15" hidden="false" customHeight="false" outlineLevel="0" collapsed="false">
      <c r="A32" s="12"/>
      <c r="B32" s="13"/>
      <c r="C32" s="13"/>
      <c r="D32" s="14"/>
      <c r="E32" s="13"/>
      <c r="F32" s="15"/>
      <c r="G32" s="16"/>
      <c r="H32" s="17"/>
    </row>
    <row r="33" customFormat="false" ht="15" hidden="false" customHeight="false" outlineLevel="0" collapsed="false">
      <c r="A33" s="12"/>
      <c r="B33" s="13"/>
      <c r="C33" s="13"/>
      <c r="D33" s="14"/>
      <c r="E33" s="13"/>
      <c r="F33" s="15"/>
      <c r="G33" s="16"/>
      <c r="H33" s="17"/>
    </row>
    <row r="34" customFormat="false" ht="15" hidden="false" customHeight="false" outlineLevel="0" collapsed="false">
      <c r="A34" s="12"/>
      <c r="B34" s="13"/>
      <c r="C34" s="13"/>
      <c r="D34" s="14"/>
      <c r="E34" s="13"/>
      <c r="F34" s="15"/>
      <c r="G34" s="16"/>
      <c r="H34" s="17"/>
    </row>
    <row r="35" customFormat="false" ht="15" hidden="false" customHeight="false" outlineLevel="0" collapsed="false">
      <c r="A35" s="12"/>
      <c r="B35" s="13"/>
      <c r="C35" s="13"/>
      <c r="D35" s="14"/>
      <c r="E35" s="13"/>
      <c r="F35" s="15"/>
      <c r="G35" s="16"/>
      <c r="H35" s="17"/>
    </row>
    <row r="36" customFormat="false" ht="15" hidden="false" customHeight="false" outlineLevel="0" collapsed="false">
      <c r="A36" s="12"/>
      <c r="B36" s="13"/>
      <c r="C36" s="13"/>
      <c r="D36" s="14"/>
      <c r="E36" s="13"/>
      <c r="F36" s="15"/>
      <c r="G36" s="16"/>
      <c r="H36" s="17"/>
    </row>
    <row r="37" customFormat="false" ht="15" hidden="false" customHeight="false" outlineLevel="0" collapsed="false">
      <c r="A37" s="12"/>
      <c r="B37" s="13"/>
      <c r="C37" s="13"/>
      <c r="D37" s="14"/>
      <c r="E37" s="13"/>
      <c r="F37" s="15"/>
      <c r="G37" s="16"/>
      <c r="H37" s="17"/>
    </row>
    <row r="38" customFormat="false" ht="15" hidden="false" customHeight="false" outlineLevel="0" collapsed="false">
      <c r="A38" s="12"/>
      <c r="B38" s="13"/>
      <c r="C38" s="13"/>
      <c r="D38" s="14"/>
      <c r="E38" s="13"/>
      <c r="F38" s="15"/>
      <c r="G38" s="16"/>
      <c r="H38" s="17"/>
    </row>
    <row r="39" customFormat="false" ht="15" hidden="false" customHeight="false" outlineLevel="0" collapsed="false">
      <c r="A39" s="12"/>
      <c r="B39" s="13"/>
      <c r="C39" s="13"/>
      <c r="D39" s="14"/>
      <c r="E39" s="13"/>
      <c r="F39" s="15"/>
      <c r="G39" s="16"/>
      <c r="H39" s="17"/>
    </row>
    <row r="40" customFormat="false" ht="15" hidden="false" customHeight="false" outlineLevel="0" collapsed="false">
      <c r="A40" s="12"/>
      <c r="B40" s="13"/>
      <c r="C40" s="13"/>
      <c r="D40" s="14"/>
      <c r="E40" s="13"/>
      <c r="F40" s="15"/>
      <c r="G40" s="16"/>
      <c r="H40" s="17"/>
    </row>
    <row r="41" customFormat="false" ht="15" hidden="false" customHeight="false" outlineLevel="0" collapsed="false">
      <c r="A41" s="12"/>
      <c r="B41" s="13"/>
      <c r="C41" s="13"/>
      <c r="D41" s="14"/>
      <c r="E41" s="13"/>
      <c r="F41" s="15"/>
      <c r="G41" s="16"/>
      <c r="H41" s="17"/>
    </row>
    <row r="42" customFormat="false" ht="15" hidden="false" customHeight="false" outlineLevel="0" collapsed="false">
      <c r="A42" s="12"/>
      <c r="B42" s="13"/>
      <c r="C42" s="13"/>
      <c r="D42" s="14"/>
      <c r="E42" s="13"/>
      <c r="F42" s="15"/>
      <c r="G42" s="16"/>
      <c r="H42" s="17"/>
    </row>
    <row r="43" customFormat="false" ht="15" hidden="false" customHeight="false" outlineLevel="0" collapsed="false">
      <c r="A43" s="12"/>
      <c r="B43" s="13"/>
      <c r="C43" s="13"/>
      <c r="D43" s="14"/>
      <c r="E43" s="13"/>
      <c r="F43" s="15"/>
      <c r="G43" s="16"/>
      <c r="H43" s="17"/>
    </row>
    <row r="44" customFormat="false" ht="15" hidden="false" customHeight="false" outlineLevel="0" collapsed="false">
      <c r="A44" s="12"/>
      <c r="B44" s="13"/>
      <c r="C44" s="13"/>
      <c r="D44" s="14"/>
      <c r="E44" s="13"/>
      <c r="F44" s="15"/>
      <c r="G44" s="16"/>
      <c r="H44" s="17"/>
    </row>
    <row r="45" customFormat="false" ht="15" hidden="false" customHeight="false" outlineLevel="0" collapsed="false">
      <c r="A45" s="12"/>
      <c r="B45" s="13"/>
      <c r="C45" s="13"/>
      <c r="D45" s="14"/>
      <c r="E45" s="13"/>
      <c r="F45" s="15"/>
      <c r="G45" s="16"/>
      <c r="H45" s="17"/>
    </row>
    <row r="46" customFormat="false" ht="15" hidden="false" customHeight="false" outlineLevel="0" collapsed="false">
      <c r="A46" s="12"/>
      <c r="B46" s="13"/>
      <c r="C46" s="13"/>
      <c r="D46" s="14"/>
      <c r="E46" s="13"/>
      <c r="F46" s="15"/>
      <c r="G46" s="16"/>
      <c r="H46" s="17"/>
    </row>
    <row r="47" customFormat="false" ht="15" hidden="false" customHeight="false" outlineLevel="0" collapsed="false">
      <c r="A47" s="12"/>
      <c r="B47" s="13"/>
      <c r="C47" s="13"/>
      <c r="D47" s="14"/>
      <c r="E47" s="13"/>
      <c r="F47" s="15"/>
      <c r="G47" s="16"/>
      <c r="H47" s="17"/>
    </row>
    <row r="48" customFormat="false" ht="15" hidden="false" customHeight="false" outlineLevel="0" collapsed="false">
      <c r="A48" s="12"/>
      <c r="B48" s="13"/>
      <c r="C48" s="13"/>
      <c r="D48" s="14"/>
      <c r="E48" s="13"/>
      <c r="F48" s="15"/>
      <c r="G48" s="16"/>
      <c r="H48" s="17"/>
    </row>
    <row r="49" customFormat="false" ht="15" hidden="false" customHeight="false" outlineLevel="0" collapsed="false">
      <c r="A49" s="12"/>
      <c r="B49" s="13"/>
      <c r="C49" s="13"/>
      <c r="D49" s="14"/>
      <c r="E49" s="13"/>
      <c r="F49" s="15"/>
      <c r="G49" s="16"/>
      <c r="H49" s="17"/>
    </row>
    <row r="50" customFormat="false" ht="15" hidden="false" customHeight="false" outlineLevel="0" collapsed="false">
      <c r="A50" s="12"/>
      <c r="B50" s="13"/>
      <c r="C50" s="13"/>
      <c r="D50" s="14"/>
      <c r="E50" s="13"/>
      <c r="F50" s="15"/>
      <c r="G50" s="16"/>
      <c r="H50" s="17"/>
    </row>
    <row r="51" customFormat="false" ht="15" hidden="false" customHeight="false" outlineLevel="0" collapsed="false">
      <c r="A51" s="12"/>
      <c r="B51" s="13"/>
      <c r="C51" s="13"/>
      <c r="D51" s="14"/>
      <c r="E51" s="13"/>
      <c r="F51" s="15"/>
      <c r="G51" s="16"/>
      <c r="H51" s="17"/>
    </row>
    <row r="52" customFormat="false" ht="15" hidden="false" customHeight="false" outlineLevel="0" collapsed="false">
      <c r="A52" s="12"/>
      <c r="B52" s="13"/>
      <c r="C52" s="13"/>
      <c r="D52" s="14"/>
      <c r="E52" s="13"/>
      <c r="F52" s="15"/>
      <c r="G52" s="16"/>
      <c r="H52" s="17"/>
    </row>
    <row r="53" customFormat="false" ht="15" hidden="false" customHeight="false" outlineLevel="0" collapsed="false">
      <c r="A53" s="12"/>
      <c r="B53" s="13"/>
      <c r="C53" s="13"/>
      <c r="D53" s="14"/>
      <c r="E53" s="13"/>
      <c r="F53" s="15"/>
      <c r="G53" s="16"/>
      <c r="H53" s="17"/>
    </row>
    <row r="54" customFormat="false" ht="15" hidden="false" customHeight="false" outlineLevel="0" collapsed="false">
      <c r="A54" s="12"/>
      <c r="B54" s="13"/>
      <c r="C54" s="13"/>
      <c r="D54" s="14"/>
      <c r="E54" s="13"/>
      <c r="F54" s="15"/>
      <c r="G54" s="16"/>
      <c r="H54" s="17"/>
    </row>
    <row r="55" customFormat="false" ht="15" hidden="false" customHeight="false" outlineLevel="0" collapsed="false">
      <c r="A55" s="12"/>
      <c r="B55" s="13"/>
      <c r="C55" s="13"/>
      <c r="D55" s="14"/>
      <c r="E55" s="13"/>
      <c r="F55" s="15"/>
      <c r="G55" s="16"/>
      <c r="H55" s="17"/>
    </row>
    <row r="56" customFormat="false" ht="15" hidden="false" customHeight="false" outlineLevel="0" collapsed="false">
      <c r="A56" s="12"/>
      <c r="B56" s="13"/>
      <c r="C56" s="13"/>
      <c r="D56" s="14"/>
      <c r="E56" s="13"/>
      <c r="F56" s="15"/>
      <c r="G56" s="16"/>
      <c r="H56" s="17"/>
    </row>
    <row r="57" customFormat="false" ht="15" hidden="false" customHeight="false" outlineLevel="0" collapsed="false">
      <c r="A57" s="12"/>
      <c r="B57" s="13"/>
      <c r="C57" s="13"/>
      <c r="D57" s="14"/>
      <c r="E57" s="13"/>
      <c r="F57" s="15"/>
      <c r="G57" s="16"/>
      <c r="H57" s="17"/>
    </row>
    <row r="58" customFormat="false" ht="15" hidden="false" customHeight="false" outlineLevel="0" collapsed="false">
      <c r="A58" s="12"/>
      <c r="B58" s="13"/>
      <c r="C58" s="13"/>
      <c r="D58" s="14"/>
      <c r="E58" s="13"/>
      <c r="F58" s="15"/>
      <c r="G58" s="16"/>
      <c r="H58" s="17"/>
    </row>
    <row r="59" customFormat="false" ht="15" hidden="false" customHeight="false" outlineLevel="0" collapsed="false">
      <c r="A59" s="12"/>
      <c r="B59" s="13"/>
      <c r="C59" s="13"/>
      <c r="D59" s="14"/>
      <c r="E59" s="13"/>
      <c r="F59" s="15"/>
      <c r="G59" s="16"/>
      <c r="H59" s="17"/>
    </row>
    <row r="60" customFormat="false" ht="15" hidden="false" customHeight="false" outlineLevel="0" collapsed="false">
      <c r="A60" s="12"/>
      <c r="B60" s="13"/>
      <c r="C60" s="13"/>
      <c r="D60" s="14"/>
      <c r="E60" s="13"/>
      <c r="F60" s="15"/>
      <c r="G60" s="16"/>
      <c r="H60" s="17"/>
    </row>
    <row r="61" customFormat="false" ht="15" hidden="false" customHeight="false" outlineLevel="0" collapsed="false">
      <c r="A61" s="12"/>
      <c r="B61" s="13"/>
      <c r="C61" s="13"/>
      <c r="D61" s="14"/>
      <c r="E61" s="13"/>
      <c r="F61" s="15"/>
      <c r="G61" s="16"/>
      <c r="H61" s="17"/>
    </row>
    <row r="62" customFormat="false" ht="15" hidden="false" customHeight="false" outlineLevel="0" collapsed="false">
      <c r="A62" s="12"/>
      <c r="B62" s="13"/>
      <c r="C62" s="13"/>
      <c r="D62" s="14"/>
      <c r="E62" s="13"/>
      <c r="F62" s="15"/>
      <c r="G62" s="16"/>
      <c r="H62" s="17"/>
    </row>
    <row r="63" customFormat="false" ht="15" hidden="false" customHeight="false" outlineLevel="0" collapsed="false">
      <c r="A63" s="12"/>
      <c r="B63" s="13"/>
      <c r="C63" s="13"/>
      <c r="D63" s="14"/>
      <c r="E63" s="13"/>
      <c r="F63" s="15"/>
      <c r="G63" s="16"/>
      <c r="H63" s="17"/>
    </row>
    <row r="64" customFormat="false" ht="15" hidden="false" customHeight="false" outlineLevel="0" collapsed="false">
      <c r="A64" s="12"/>
      <c r="B64" s="13"/>
      <c r="C64" s="13"/>
      <c r="D64" s="14"/>
      <c r="E64" s="13"/>
      <c r="F64" s="15"/>
      <c r="G64" s="16"/>
      <c r="H64" s="17"/>
    </row>
    <row r="65" customFormat="false" ht="15" hidden="false" customHeight="false" outlineLevel="0" collapsed="false">
      <c r="A65" s="12"/>
      <c r="B65" s="22"/>
      <c r="C65" s="22"/>
      <c r="D65" s="14"/>
      <c r="E65" s="22"/>
      <c r="F65" s="17"/>
      <c r="G65" s="23"/>
      <c r="H65" s="17"/>
    </row>
    <row r="66" customFormat="false" ht="15" hidden="false" customHeight="false" outlineLevel="0" collapsed="false">
      <c r="A66" s="12"/>
      <c r="B66" s="22"/>
      <c r="C66" s="22"/>
      <c r="D66" s="14"/>
      <c r="E66" s="22"/>
      <c r="F66" s="17"/>
      <c r="G66" s="23"/>
      <c r="H66" s="17"/>
    </row>
    <row r="67" customFormat="false" ht="15" hidden="false" customHeight="false" outlineLevel="0" collapsed="false">
      <c r="A67" s="12"/>
      <c r="B67" s="22"/>
      <c r="C67" s="22"/>
      <c r="D67" s="14"/>
      <c r="E67" s="22"/>
      <c r="F67" s="17"/>
      <c r="G67" s="23"/>
      <c r="H67" s="17"/>
    </row>
  </sheetData>
  <sheetProtection sheet="true" formatCells="false"/>
  <autoFilter ref="A3:H164"/>
  <mergeCells count="2">
    <mergeCell ref="A1:G1"/>
    <mergeCell ref="A19:H19"/>
  </mergeCells>
  <conditionalFormatting sqref="A4:G64">
    <cfRule type="cellIs" priority="2" operator="equal" aboveAverage="0" equalAverage="0" bottom="0" percent="0" rank="0" text="" dxfId="8">
      <formula>"A"</formula>
    </cfRule>
    <cfRule type="expression" priority="3" aboveAverage="0" equalAverage="0" bottom="0" percent="0" rank="0" text="" dxfId="8">
      <formula>$F4="A"</formula>
    </cfRule>
    <cfRule type="expression" priority="4" aboveAverage="0" equalAverage="0" bottom="0" percent="0" rank="0" text="" dxfId="9">
      <formula>$F4="B"</formula>
    </cfRule>
    <cfRule type="expression" priority="5" aboveAverage="0" equalAverage="0" bottom="0" percent="0" rank="0" text="" dxfId="10">
      <formula>$F4="C"</formula>
    </cfRule>
  </conditionalFormatting>
  <dataValidations count="3">
    <dataValidation allowBlank="true" errorStyle="stop" operator="between" showDropDown="false" showErrorMessage="false" showInputMessage="false" sqref="F4:F164" type="list">
      <formula1>"A,B,C,—"</formula1>
      <formula2>0</formula2>
    </dataValidation>
    <dataValidation allowBlank="true" errorStyle="stop" operator="between" showDropDown="false" showErrorMessage="false" showInputMessage="false" sqref="E4:E164" type="list">
      <formula1>"SDD,Accredito,Bancomat,CC moglie,Contanti,Buoni pasto,Gift card,Altro"</formula1>
      <formula2>0</formula2>
    </dataValidation>
    <dataValidation allowBlank="true" errorStyle="stop" operator="between" showDropDown="false" showErrorMessage="false" showInputMessage="false" sqref="H4:H164" type="list">
      <formula1>"Sì,No"</formula1>
      <formula2>0</formula2>
    </dataValidation>
  </dataValidations>
  <printOptions headings="false" gridLines="tru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E17" activeCellId="0" sqref="E17"/>
    </sheetView>
  </sheetViews>
  <sheetFormatPr defaultColWidth="9.7578125" defaultRowHeight="15" customHeight="true" zeroHeight="false" outlineLevelRow="0" outlineLevelCol="0"/>
  <cols>
    <col collapsed="false" customWidth="true" hidden="false" outlineLevel="0" max="1" min="1" style="0" width="13.62"/>
    <col collapsed="false" customWidth="true" hidden="false" outlineLevel="0" max="2" min="2" style="0" width="15.89"/>
    <col collapsed="false" customWidth="true" hidden="false" outlineLevel="0" max="3" min="3" style="0" width="43.14"/>
    <col collapsed="false" customWidth="true" hidden="false" outlineLevel="0" max="5" min="4" style="0" width="15.89"/>
    <col collapsed="false" customWidth="true" hidden="false" outlineLevel="0" max="6" min="6" style="0" width="9.08"/>
    <col collapsed="false" customWidth="true" hidden="false" outlineLevel="0" max="7" min="7" style="0" width="45.41"/>
    <col collapsed="false" customWidth="true" hidden="false" outlineLevel="0" max="8" min="8" style="0" width="11.35"/>
    <col collapsed="false" customWidth="true" hidden="false" outlineLevel="0" max="10" min="10" style="0" width="20.43"/>
    <col collapsed="false" customWidth="true" hidden="false" outlineLevel="0" max="11" min="11" style="0" width="18.16"/>
  </cols>
  <sheetData>
    <row r="1" customFormat="false" ht="27.75" hidden="false" customHeight="true" outlineLevel="0" collapsed="false">
      <c r="A1" s="9" t="s">
        <v>120</v>
      </c>
      <c r="B1" s="9"/>
      <c r="C1" s="9"/>
      <c r="D1" s="9"/>
      <c r="E1" s="9"/>
      <c r="F1" s="9"/>
      <c r="G1" s="9"/>
    </row>
    <row r="2" customFormat="false" ht="15" hidden="false" customHeight="false" outlineLevel="0" collapsed="false">
      <c r="F2" s="10" t="s">
        <v>63</v>
      </c>
      <c r="G2" s="4" t="n">
        <f aca="false">SUMIF($A:$A,"&lt;&gt;",$D:$D)</f>
        <v>-182</v>
      </c>
      <c r="J2" s="10" t="s">
        <v>64</v>
      </c>
      <c r="K2" s="4" t="n">
        <f aca="false">SUMIF($A:$A,"&lt;&gt;",$D:$D)</f>
        <v>-182</v>
      </c>
    </row>
    <row r="3" customFormat="false" ht="24" hidden="false" customHeight="true" outlineLevel="0" collapsed="false">
      <c r="A3" s="11" t="s">
        <v>65</v>
      </c>
      <c r="B3" s="11" t="s">
        <v>66</v>
      </c>
      <c r="C3" s="11" t="s">
        <v>67</v>
      </c>
      <c r="D3" s="11" t="s">
        <v>68</v>
      </c>
      <c r="E3" s="11" t="s">
        <v>69</v>
      </c>
      <c r="F3" s="11" t="s">
        <v>17</v>
      </c>
      <c r="G3" s="11" t="s">
        <v>70</v>
      </c>
      <c r="H3" s="11" t="s">
        <v>30</v>
      </c>
      <c r="J3" s="10" t="s">
        <v>71</v>
      </c>
      <c r="K3" s="4" t="n">
        <f aca="false">'10-Oct'!$K$3+$K$2</f>
        <v>292.45</v>
      </c>
    </row>
    <row r="4" customFormat="false" ht="18" hidden="false" customHeight="true" outlineLevel="0" collapsed="false">
      <c r="A4" s="12" t="n">
        <v>46327</v>
      </c>
      <c r="B4" s="13" t="s">
        <v>72</v>
      </c>
      <c r="C4" s="13" t="s">
        <v>73</v>
      </c>
      <c r="D4" s="14" t="n">
        <v>-742</v>
      </c>
      <c r="E4" s="13" t="s">
        <v>74</v>
      </c>
      <c r="F4" s="15" t="s">
        <v>19</v>
      </c>
      <c r="G4" s="16" t="s">
        <v>75</v>
      </c>
      <c r="H4" s="17"/>
    </row>
    <row r="5" customFormat="false" ht="18" hidden="false" customHeight="true" outlineLevel="0" collapsed="false">
      <c r="A5" s="12" t="n">
        <v>46327</v>
      </c>
      <c r="B5" s="13" t="s">
        <v>76</v>
      </c>
      <c r="C5" s="13" t="s">
        <v>77</v>
      </c>
      <c r="D5" s="14" t="n">
        <v>-38</v>
      </c>
      <c r="E5" s="13" t="s">
        <v>74</v>
      </c>
      <c r="F5" s="15" t="s">
        <v>21</v>
      </c>
      <c r="G5" s="16" t="s">
        <v>78</v>
      </c>
      <c r="H5" s="17"/>
    </row>
    <row r="6" customFormat="false" ht="18" hidden="false" customHeight="true" outlineLevel="0" collapsed="false">
      <c r="A6" s="12" t="n">
        <v>46327</v>
      </c>
      <c r="B6" s="13" t="s">
        <v>79</v>
      </c>
      <c r="C6" s="13" t="s">
        <v>80</v>
      </c>
      <c r="D6" s="14" t="n">
        <v>-154</v>
      </c>
      <c r="E6" s="13" t="s">
        <v>74</v>
      </c>
      <c r="F6" s="15" t="s">
        <v>21</v>
      </c>
      <c r="G6" s="16" t="s">
        <v>81</v>
      </c>
      <c r="H6" s="17"/>
    </row>
    <row r="7" customFormat="false" ht="18" hidden="false" customHeight="true" outlineLevel="0" collapsed="false">
      <c r="A7" s="12" t="n">
        <v>46333</v>
      </c>
      <c r="B7" s="13" t="s">
        <v>86</v>
      </c>
      <c r="C7" s="13" t="s">
        <v>40</v>
      </c>
      <c r="D7" s="14" t="n">
        <v>-170</v>
      </c>
      <c r="E7" s="13" t="s">
        <v>84</v>
      </c>
      <c r="F7" s="15" t="s">
        <v>21</v>
      </c>
      <c r="G7" s="16"/>
      <c r="H7" s="17"/>
    </row>
    <row r="8" customFormat="false" ht="18" hidden="false" customHeight="true" outlineLevel="0" collapsed="false">
      <c r="A8" s="12" t="n">
        <v>46340</v>
      </c>
      <c r="B8" s="13" t="s">
        <v>86</v>
      </c>
      <c r="C8" s="13" t="s">
        <v>40</v>
      </c>
      <c r="D8" s="14" t="n">
        <v>-170</v>
      </c>
      <c r="E8" s="13" t="s">
        <v>84</v>
      </c>
      <c r="F8" s="15" t="s">
        <v>21</v>
      </c>
      <c r="G8" s="16"/>
      <c r="H8" s="17"/>
    </row>
    <row r="9" customFormat="false" ht="18" hidden="false" customHeight="true" outlineLevel="0" collapsed="false">
      <c r="A9" s="12" t="n">
        <v>46341</v>
      </c>
      <c r="B9" s="13" t="s">
        <v>72</v>
      </c>
      <c r="C9" s="13" t="s">
        <v>87</v>
      </c>
      <c r="D9" s="14" t="n">
        <v>-218</v>
      </c>
      <c r="E9" s="13" t="s">
        <v>74</v>
      </c>
      <c r="F9" s="15" t="s">
        <v>19</v>
      </c>
      <c r="G9" s="16" t="s">
        <v>88</v>
      </c>
      <c r="H9" s="17"/>
    </row>
    <row r="10" customFormat="false" ht="18" hidden="false" customHeight="true" outlineLevel="0" collapsed="false">
      <c r="A10" s="12" t="n">
        <v>46341</v>
      </c>
      <c r="B10" s="13" t="s">
        <v>72</v>
      </c>
      <c r="C10" s="13" t="s">
        <v>89</v>
      </c>
      <c r="D10" s="14" t="n">
        <v>-545</v>
      </c>
      <c r="E10" s="13" t="s">
        <v>74</v>
      </c>
      <c r="F10" s="15" t="s">
        <v>19</v>
      </c>
      <c r="G10" s="16" t="s">
        <v>90</v>
      </c>
      <c r="H10" s="17"/>
    </row>
    <row r="11" customFormat="false" ht="18" hidden="false" customHeight="true" outlineLevel="0" collapsed="false">
      <c r="A11" s="12" t="n">
        <v>46341</v>
      </c>
      <c r="B11" s="13" t="s">
        <v>91</v>
      </c>
      <c r="C11" s="13" t="s">
        <v>92</v>
      </c>
      <c r="D11" s="14" t="n">
        <v>-31</v>
      </c>
      <c r="E11" s="13" t="s">
        <v>74</v>
      </c>
      <c r="F11" s="15" t="s">
        <v>21</v>
      </c>
      <c r="G11" s="16" t="s">
        <v>93</v>
      </c>
      <c r="H11" s="17"/>
    </row>
    <row r="12" customFormat="false" ht="18" hidden="false" customHeight="true" outlineLevel="0" collapsed="false">
      <c r="A12" s="12" t="n">
        <v>46341</v>
      </c>
      <c r="B12" s="13" t="s">
        <v>91</v>
      </c>
      <c r="C12" s="13" t="s">
        <v>94</v>
      </c>
      <c r="D12" s="14" t="n">
        <v>-14</v>
      </c>
      <c r="E12" s="13" t="s">
        <v>74</v>
      </c>
      <c r="F12" s="15" t="s">
        <v>21</v>
      </c>
      <c r="G12" s="16" t="s">
        <v>93</v>
      </c>
      <c r="H12" s="17"/>
    </row>
    <row r="13" customFormat="false" ht="18" hidden="false" customHeight="true" outlineLevel="0" collapsed="false">
      <c r="A13" s="12" t="n">
        <v>46341</v>
      </c>
      <c r="B13" s="13" t="s">
        <v>91</v>
      </c>
      <c r="C13" s="13" t="s">
        <v>95</v>
      </c>
      <c r="D13" s="14" t="n">
        <v>-120</v>
      </c>
      <c r="E13" s="13" t="s">
        <v>74</v>
      </c>
      <c r="F13" s="15" t="s">
        <v>21</v>
      </c>
      <c r="G13" s="16" t="s">
        <v>96</v>
      </c>
      <c r="H13" s="17"/>
    </row>
    <row r="14" customFormat="false" ht="18" hidden="false" customHeight="true" outlineLevel="0" collapsed="false">
      <c r="A14" s="12" t="n">
        <v>46341</v>
      </c>
      <c r="B14" s="13" t="s">
        <v>91</v>
      </c>
      <c r="C14" s="13" t="s">
        <v>97</v>
      </c>
      <c r="D14" s="14" t="n">
        <v>-20</v>
      </c>
      <c r="E14" s="13" t="s">
        <v>74</v>
      </c>
      <c r="F14" s="15" t="s">
        <v>21</v>
      </c>
      <c r="G14" s="16" t="s">
        <v>96</v>
      </c>
      <c r="H14" s="17"/>
    </row>
    <row r="15" customFormat="false" ht="18" hidden="false" customHeight="true" outlineLevel="0" collapsed="false">
      <c r="A15" s="12" t="n">
        <v>46347</v>
      </c>
      <c r="B15" s="13" t="s">
        <v>86</v>
      </c>
      <c r="C15" s="13" t="s">
        <v>40</v>
      </c>
      <c r="D15" s="14" t="n">
        <v>-170</v>
      </c>
      <c r="E15" s="13" t="s">
        <v>101</v>
      </c>
      <c r="F15" s="15" t="s">
        <v>21</v>
      </c>
      <c r="G15" s="16"/>
      <c r="H15" s="17"/>
    </row>
    <row r="16" customFormat="false" ht="19.5" hidden="false" customHeight="true" outlineLevel="0" collapsed="false">
      <c r="A16" s="12" t="n">
        <v>46353</v>
      </c>
      <c r="B16" s="13" t="s">
        <v>98</v>
      </c>
      <c r="C16" s="13" t="s">
        <v>99</v>
      </c>
      <c r="D16" s="14" t="n">
        <v>2380</v>
      </c>
      <c r="E16" s="13" t="s">
        <v>100</v>
      </c>
      <c r="F16" s="15" t="s">
        <v>19</v>
      </c>
      <c r="G16" s="16"/>
      <c r="H16" s="17"/>
    </row>
    <row r="17" customFormat="false" ht="18" hidden="false" customHeight="true" outlineLevel="0" collapsed="false">
      <c r="A17" s="12" t="n">
        <v>46354</v>
      </c>
      <c r="B17" s="13" t="s">
        <v>86</v>
      </c>
      <c r="C17" s="13" t="s">
        <v>40</v>
      </c>
      <c r="D17" s="14" t="n">
        <v>-170</v>
      </c>
      <c r="E17" s="13" t="s">
        <v>101</v>
      </c>
      <c r="F17" s="15" t="s">
        <v>21</v>
      </c>
      <c r="G17" s="16"/>
      <c r="H17" s="17"/>
    </row>
    <row r="18" customFormat="false" ht="18" hidden="false" customHeight="true" outlineLevel="0" collapsed="false">
      <c r="A18" s="12"/>
      <c r="B18" s="18"/>
      <c r="C18" s="18"/>
      <c r="D18" s="18"/>
      <c r="E18" s="18"/>
      <c r="F18" s="18"/>
      <c r="G18" s="18"/>
      <c r="H18" s="17"/>
    </row>
    <row r="19" customFormat="false" ht="18" hidden="false" customHeight="true" outlineLevel="0" collapsed="false">
      <c r="A19" s="19" t="s">
        <v>102</v>
      </c>
      <c r="B19" s="19"/>
      <c r="C19" s="19"/>
      <c r="D19" s="19"/>
      <c r="E19" s="19"/>
      <c r="F19" s="19"/>
      <c r="G19" s="19"/>
      <c r="H19" s="19"/>
    </row>
    <row r="20" customFormat="false" ht="18" hidden="false" customHeight="true" outlineLevel="0" collapsed="false">
      <c r="A20" s="12" t="s">
        <v>103</v>
      </c>
      <c r="B20" s="18"/>
      <c r="C20" s="18"/>
      <c r="D20" s="18"/>
      <c r="E20" s="18"/>
      <c r="F20" s="18"/>
      <c r="G20" s="18"/>
      <c r="H20" s="17"/>
    </row>
    <row r="21" customFormat="false" ht="16.4" hidden="false" customHeight="false" outlineLevel="0" collapsed="false">
      <c r="A21" s="12" t="s">
        <v>104</v>
      </c>
      <c r="B21" s="18"/>
      <c r="C21" s="18"/>
      <c r="D21" s="18"/>
      <c r="E21" s="18"/>
      <c r="F21" s="18"/>
      <c r="G21" s="18"/>
      <c r="H21" s="17"/>
    </row>
    <row r="22" customFormat="false" ht="16.4" hidden="false" customHeight="false" outlineLevel="0" collapsed="false">
      <c r="A22" s="12" t="s">
        <v>105</v>
      </c>
      <c r="B22" s="20"/>
      <c r="C22" s="20"/>
      <c r="D22" s="20"/>
      <c r="E22" s="20"/>
      <c r="F22" s="20"/>
      <c r="G22" s="21"/>
      <c r="H22" s="17"/>
    </row>
    <row r="23" customFormat="false" ht="16.4" hidden="false" customHeight="false" outlineLevel="0" collapsed="false">
      <c r="A23" s="12" t="s">
        <v>106</v>
      </c>
      <c r="B23" s="20"/>
      <c r="C23" s="20"/>
      <c r="D23" s="20"/>
      <c r="E23" s="20"/>
      <c r="F23" s="20"/>
      <c r="G23" s="21"/>
      <c r="H23" s="17"/>
    </row>
    <row r="24" customFormat="false" ht="15" hidden="false" customHeight="false" outlineLevel="0" collapsed="false">
      <c r="A24" s="12"/>
      <c r="B24" s="13"/>
      <c r="C24" s="13"/>
      <c r="D24" s="18"/>
      <c r="E24" s="18"/>
      <c r="F24" s="18"/>
      <c r="G24" s="18"/>
      <c r="H24" s="17"/>
    </row>
    <row r="25" customFormat="false" ht="16.4" hidden="false" customHeight="false" outlineLevel="0" collapsed="false">
      <c r="A25" s="12"/>
      <c r="B25" s="13"/>
      <c r="C25" s="13"/>
      <c r="D25" s="20"/>
      <c r="E25" s="20"/>
      <c r="F25" s="20"/>
      <c r="G25" s="21"/>
      <c r="H25" s="17"/>
    </row>
    <row r="26" customFormat="false" ht="15" hidden="false" customHeight="false" outlineLevel="0" collapsed="false">
      <c r="A26" s="12"/>
      <c r="B26" s="13"/>
      <c r="C26" s="13"/>
      <c r="D26" s="14"/>
      <c r="E26" s="13"/>
      <c r="F26" s="15"/>
      <c r="G26" s="16"/>
      <c r="H26" s="17"/>
    </row>
    <row r="27" customFormat="false" ht="15" hidden="false" customHeight="false" outlineLevel="0" collapsed="false">
      <c r="A27" s="12"/>
      <c r="B27" s="13"/>
      <c r="C27" s="13"/>
      <c r="D27" s="14"/>
      <c r="E27" s="13"/>
      <c r="F27" s="15"/>
      <c r="G27" s="16"/>
      <c r="H27" s="17"/>
    </row>
    <row r="28" customFormat="false" ht="15" hidden="false" customHeight="false" outlineLevel="0" collapsed="false">
      <c r="A28" s="12"/>
      <c r="B28" s="13"/>
      <c r="C28" s="13"/>
      <c r="D28" s="14"/>
      <c r="E28" s="13"/>
      <c r="F28" s="15"/>
      <c r="G28" s="16"/>
      <c r="H28" s="17"/>
    </row>
    <row r="29" customFormat="false" ht="15" hidden="false" customHeight="false" outlineLevel="0" collapsed="false">
      <c r="A29" s="12"/>
      <c r="B29" s="13"/>
      <c r="C29" s="13"/>
      <c r="D29" s="14"/>
      <c r="E29" s="13"/>
      <c r="F29" s="15"/>
      <c r="G29" s="16"/>
      <c r="H29" s="17"/>
    </row>
    <row r="30" customFormat="false" ht="15" hidden="false" customHeight="false" outlineLevel="0" collapsed="false">
      <c r="A30" s="12"/>
      <c r="B30" s="13"/>
      <c r="C30" s="13"/>
      <c r="D30" s="14"/>
      <c r="E30" s="13"/>
      <c r="F30" s="15"/>
      <c r="G30" s="16"/>
      <c r="H30" s="17"/>
    </row>
    <row r="31" customFormat="false" ht="15" hidden="false" customHeight="false" outlineLevel="0" collapsed="false">
      <c r="A31" s="12"/>
      <c r="B31" s="13"/>
      <c r="C31" s="13"/>
      <c r="D31" s="14"/>
      <c r="E31" s="13"/>
      <c r="F31" s="15"/>
      <c r="G31" s="16"/>
      <c r="H31" s="17"/>
    </row>
    <row r="32" customFormat="false" ht="15" hidden="false" customHeight="false" outlineLevel="0" collapsed="false">
      <c r="A32" s="12"/>
      <c r="B32" s="13"/>
      <c r="C32" s="13"/>
      <c r="D32" s="14"/>
      <c r="E32" s="13"/>
      <c r="F32" s="15"/>
      <c r="G32" s="16"/>
      <c r="H32" s="17"/>
    </row>
    <row r="33" customFormat="false" ht="15" hidden="false" customHeight="false" outlineLevel="0" collapsed="false">
      <c r="A33" s="12"/>
      <c r="B33" s="13"/>
      <c r="C33" s="13"/>
      <c r="D33" s="14"/>
      <c r="E33" s="13"/>
      <c r="F33" s="15"/>
      <c r="G33" s="16"/>
      <c r="H33" s="17"/>
    </row>
    <row r="34" customFormat="false" ht="15" hidden="false" customHeight="false" outlineLevel="0" collapsed="false">
      <c r="A34" s="12"/>
      <c r="B34" s="13"/>
      <c r="C34" s="13"/>
      <c r="D34" s="14"/>
      <c r="E34" s="13"/>
      <c r="F34" s="15"/>
      <c r="G34" s="16"/>
      <c r="H34" s="17"/>
    </row>
    <row r="35" customFormat="false" ht="15" hidden="false" customHeight="false" outlineLevel="0" collapsed="false">
      <c r="A35" s="12"/>
      <c r="B35" s="13"/>
      <c r="C35" s="13"/>
      <c r="D35" s="14"/>
      <c r="E35" s="13"/>
      <c r="F35" s="15"/>
      <c r="G35" s="16"/>
      <c r="H35" s="17"/>
    </row>
    <row r="36" customFormat="false" ht="15" hidden="false" customHeight="false" outlineLevel="0" collapsed="false">
      <c r="A36" s="12"/>
      <c r="B36" s="13"/>
      <c r="C36" s="13"/>
      <c r="D36" s="14"/>
      <c r="E36" s="13"/>
      <c r="F36" s="15"/>
      <c r="G36" s="16"/>
      <c r="H36" s="17"/>
    </row>
    <row r="37" customFormat="false" ht="15" hidden="false" customHeight="false" outlineLevel="0" collapsed="false">
      <c r="A37" s="12"/>
      <c r="B37" s="13"/>
      <c r="C37" s="13"/>
      <c r="D37" s="14"/>
      <c r="E37" s="13"/>
      <c r="F37" s="15"/>
      <c r="G37" s="16"/>
      <c r="H37" s="17"/>
    </row>
    <row r="38" customFormat="false" ht="15" hidden="false" customHeight="false" outlineLevel="0" collapsed="false">
      <c r="A38" s="12"/>
      <c r="B38" s="13"/>
      <c r="C38" s="13"/>
      <c r="D38" s="14"/>
      <c r="E38" s="13"/>
      <c r="F38" s="15"/>
      <c r="G38" s="16"/>
      <c r="H38" s="17"/>
    </row>
    <row r="39" customFormat="false" ht="15" hidden="false" customHeight="false" outlineLevel="0" collapsed="false">
      <c r="A39" s="12"/>
      <c r="B39" s="13"/>
      <c r="C39" s="13"/>
      <c r="D39" s="14"/>
      <c r="E39" s="13"/>
      <c r="F39" s="15"/>
      <c r="G39" s="16"/>
      <c r="H39" s="17"/>
    </row>
    <row r="40" customFormat="false" ht="15" hidden="false" customHeight="false" outlineLevel="0" collapsed="false">
      <c r="A40" s="12"/>
      <c r="B40" s="13"/>
      <c r="C40" s="13"/>
      <c r="D40" s="14"/>
      <c r="E40" s="13"/>
      <c r="F40" s="15"/>
      <c r="G40" s="16"/>
      <c r="H40" s="17"/>
    </row>
    <row r="41" customFormat="false" ht="15" hidden="false" customHeight="false" outlineLevel="0" collapsed="false">
      <c r="A41" s="12"/>
      <c r="B41" s="13"/>
      <c r="C41" s="13"/>
      <c r="D41" s="14"/>
      <c r="E41" s="13"/>
      <c r="F41" s="15"/>
      <c r="G41" s="16"/>
      <c r="H41" s="17"/>
    </row>
    <row r="42" customFormat="false" ht="15" hidden="false" customHeight="false" outlineLevel="0" collapsed="false">
      <c r="A42" s="12"/>
      <c r="B42" s="13"/>
      <c r="C42" s="13"/>
      <c r="D42" s="14"/>
      <c r="E42" s="13"/>
      <c r="F42" s="15"/>
      <c r="G42" s="16"/>
      <c r="H42" s="17"/>
    </row>
    <row r="43" customFormat="false" ht="15" hidden="false" customHeight="false" outlineLevel="0" collapsed="false">
      <c r="A43" s="12"/>
      <c r="B43" s="13"/>
      <c r="C43" s="13"/>
      <c r="D43" s="14"/>
      <c r="E43" s="13"/>
      <c r="F43" s="15"/>
      <c r="G43" s="16"/>
      <c r="H43" s="17"/>
    </row>
    <row r="44" customFormat="false" ht="15" hidden="false" customHeight="false" outlineLevel="0" collapsed="false">
      <c r="A44" s="12"/>
      <c r="B44" s="13"/>
      <c r="C44" s="13"/>
      <c r="D44" s="14"/>
      <c r="E44" s="13"/>
      <c r="F44" s="15"/>
      <c r="G44" s="16"/>
      <c r="H44" s="17"/>
    </row>
    <row r="45" customFormat="false" ht="15" hidden="false" customHeight="false" outlineLevel="0" collapsed="false">
      <c r="A45" s="12"/>
      <c r="B45" s="13"/>
      <c r="C45" s="13"/>
      <c r="D45" s="14"/>
      <c r="E45" s="13"/>
      <c r="F45" s="15"/>
      <c r="G45" s="16"/>
      <c r="H45" s="17"/>
    </row>
    <row r="46" customFormat="false" ht="15" hidden="false" customHeight="false" outlineLevel="0" collapsed="false">
      <c r="A46" s="12"/>
      <c r="B46" s="13"/>
      <c r="C46" s="13"/>
      <c r="D46" s="14"/>
      <c r="E46" s="13"/>
      <c r="F46" s="15"/>
      <c r="G46" s="16"/>
      <c r="H46" s="17"/>
    </row>
    <row r="47" customFormat="false" ht="15" hidden="false" customHeight="false" outlineLevel="0" collapsed="false">
      <c r="A47" s="12"/>
      <c r="B47" s="13"/>
      <c r="C47" s="13"/>
      <c r="D47" s="14"/>
      <c r="E47" s="13"/>
      <c r="F47" s="15"/>
      <c r="G47" s="16"/>
      <c r="H47" s="17"/>
    </row>
    <row r="48" customFormat="false" ht="15" hidden="false" customHeight="false" outlineLevel="0" collapsed="false">
      <c r="A48" s="12"/>
      <c r="B48" s="13"/>
      <c r="C48" s="13"/>
      <c r="D48" s="14"/>
      <c r="E48" s="13"/>
      <c r="F48" s="15"/>
      <c r="G48" s="16"/>
      <c r="H48" s="17"/>
    </row>
    <row r="49" customFormat="false" ht="15" hidden="false" customHeight="false" outlineLevel="0" collapsed="false">
      <c r="A49" s="12"/>
      <c r="B49" s="13"/>
      <c r="C49" s="13"/>
      <c r="D49" s="14"/>
      <c r="E49" s="13"/>
      <c r="F49" s="15"/>
      <c r="G49" s="16"/>
      <c r="H49" s="17"/>
    </row>
    <row r="50" customFormat="false" ht="15" hidden="false" customHeight="false" outlineLevel="0" collapsed="false">
      <c r="A50" s="12"/>
      <c r="B50" s="13"/>
      <c r="C50" s="13"/>
      <c r="D50" s="14"/>
      <c r="E50" s="13"/>
      <c r="F50" s="15"/>
      <c r="G50" s="16"/>
      <c r="H50" s="17"/>
    </row>
    <row r="51" customFormat="false" ht="15" hidden="false" customHeight="false" outlineLevel="0" collapsed="false">
      <c r="A51" s="12"/>
      <c r="B51" s="13"/>
      <c r="C51" s="13"/>
      <c r="D51" s="14"/>
      <c r="E51" s="13"/>
      <c r="F51" s="15"/>
      <c r="G51" s="16"/>
      <c r="H51" s="17"/>
    </row>
    <row r="52" customFormat="false" ht="15" hidden="false" customHeight="false" outlineLevel="0" collapsed="false">
      <c r="A52" s="12"/>
      <c r="B52" s="13"/>
      <c r="C52" s="13"/>
      <c r="D52" s="14"/>
      <c r="E52" s="13"/>
      <c r="F52" s="15"/>
      <c r="G52" s="16"/>
      <c r="H52" s="17"/>
    </row>
    <row r="53" customFormat="false" ht="15" hidden="false" customHeight="false" outlineLevel="0" collapsed="false">
      <c r="A53" s="12"/>
      <c r="B53" s="13"/>
      <c r="C53" s="13"/>
      <c r="D53" s="14"/>
      <c r="E53" s="13"/>
      <c r="F53" s="15"/>
      <c r="G53" s="16"/>
      <c r="H53" s="17"/>
    </row>
    <row r="54" customFormat="false" ht="15" hidden="false" customHeight="false" outlineLevel="0" collapsed="false">
      <c r="A54" s="12"/>
      <c r="B54" s="13"/>
      <c r="C54" s="13"/>
      <c r="D54" s="14"/>
      <c r="E54" s="13"/>
      <c r="F54" s="15"/>
      <c r="G54" s="16"/>
      <c r="H54" s="17"/>
    </row>
    <row r="55" customFormat="false" ht="15" hidden="false" customHeight="false" outlineLevel="0" collapsed="false">
      <c r="A55" s="12"/>
      <c r="B55" s="13"/>
      <c r="C55" s="13"/>
      <c r="D55" s="14"/>
      <c r="E55" s="13"/>
      <c r="F55" s="15"/>
      <c r="G55" s="16"/>
      <c r="H55" s="17"/>
    </row>
    <row r="56" customFormat="false" ht="15" hidden="false" customHeight="false" outlineLevel="0" collapsed="false">
      <c r="A56" s="12"/>
      <c r="B56" s="13"/>
      <c r="C56" s="13"/>
      <c r="D56" s="14"/>
      <c r="E56" s="13"/>
      <c r="F56" s="15"/>
      <c r="G56" s="16"/>
      <c r="H56" s="17"/>
    </row>
    <row r="57" customFormat="false" ht="15" hidden="false" customHeight="false" outlineLevel="0" collapsed="false">
      <c r="A57" s="12"/>
      <c r="B57" s="13"/>
      <c r="C57" s="13"/>
      <c r="D57" s="14"/>
      <c r="E57" s="13"/>
      <c r="F57" s="15"/>
      <c r="G57" s="16"/>
      <c r="H57" s="17"/>
    </row>
    <row r="58" customFormat="false" ht="15" hidden="false" customHeight="false" outlineLevel="0" collapsed="false">
      <c r="A58" s="12"/>
      <c r="B58" s="13"/>
      <c r="C58" s="13"/>
      <c r="D58" s="14"/>
      <c r="E58" s="13"/>
      <c r="F58" s="15"/>
      <c r="G58" s="16"/>
      <c r="H58" s="17"/>
    </row>
    <row r="59" customFormat="false" ht="15" hidden="false" customHeight="false" outlineLevel="0" collapsed="false">
      <c r="A59" s="12"/>
      <c r="B59" s="13"/>
      <c r="C59" s="13"/>
      <c r="D59" s="14"/>
      <c r="E59" s="13"/>
      <c r="F59" s="15"/>
      <c r="G59" s="16"/>
      <c r="H59" s="17"/>
    </row>
    <row r="60" customFormat="false" ht="15" hidden="false" customHeight="false" outlineLevel="0" collapsed="false">
      <c r="A60" s="12"/>
      <c r="B60" s="13"/>
      <c r="C60" s="13"/>
      <c r="D60" s="14"/>
      <c r="E60" s="13"/>
      <c r="F60" s="15"/>
      <c r="G60" s="16"/>
      <c r="H60" s="17"/>
    </row>
    <row r="61" customFormat="false" ht="15" hidden="false" customHeight="false" outlineLevel="0" collapsed="false">
      <c r="A61" s="12"/>
      <c r="B61" s="13"/>
      <c r="C61" s="13"/>
      <c r="D61" s="14"/>
      <c r="E61" s="13"/>
      <c r="F61" s="15"/>
      <c r="G61" s="16"/>
      <c r="H61" s="17"/>
    </row>
    <row r="62" customFormat="false" ht="15" hidden="false" customHeight="false" outlineLevel="0" collapsed="false">
      <c r="A62" s="12"/>
      <c r="B62" s="13"/>
      <c r="C62" s="13"/>
      <c r="D62" s="14"/>
      <c r="E62" s="13"/>
      <c r="F62" s="15"/>
      <c r="G62" s="16"/>
      <c r="H62" s="17"/>
    </row>
    <row r="63" customFormat="false" ht="15" hidden="false" customHeight="false" outlineLevel="0" collapsed="false">
      <c r="A63" s="12"/>
      <c r="B63" s="13"/>
      <c r="C63" s="13"/>
      <c r="D63" s="14"/>
      <c r="E63" s="13"/>
      <c r="F63" s="15"/>
      <c r="G63" s="16"/>
      <c r="H63" s="17"/>
    </row>
    <row r="64" customFormat="false" ht="15" hidden="false" customHeight="false" outlineLevel="0" collapsed="false">
      <c r="A64" s="12"/>
      <c r="B64" s="13"/>
      <c r="C64" s="13"/>
      <c r="D64" s="14"/>
      <c r="E64" s="13"/>
      <c r="F64" s="15"/>
      <c r="G64" s="16"/>
      <c r="H64" s="17"/>
    </row>
    <row r="65" customFormat="false" ht="15" hidden="false" customHeight="false" outlineLevel="0" collapsed="false">
      <c r="A65" s="12"/>
      <c r="B65" s="22"/>
      <c r="C65" s="22"/>
      <c r="D65" s="14"/>
      <c r="E65" s="22"/>
      <c r="F65" s="17"/>
      <c r="G65" s="23"/>
      <c r="H65" s="17"/>
    </row>
  </sheetData>
  <sheetProtection sheet="true" formatCells="false"/>
  <autoFilter ref="A3:H164"/>
  <mergeCells count="2">
    <mergeCell ref="A1:G1"/>
    <mergeCell ref="A19:H19"/>
  </mergeCells>
  <conditionalFormatting sqref="A4:G64">
    <cfRule type="cellIs" priority="2" operator="equal" aboveAverage="0" equalAverage="0" bottom="0" percent="0" rank="0" text="" dxfId="8">
      <formula>"A"</formula>
    </cfRule>
    <cfRule type="expression" priority="3" aboveAverage="0" equalAverage="0" bottom="0" percent="0" rank="0" text="" dxfId="8">
      <formula>$F4="A"</formula>
    </cfRule>
    <cfRule type="expression" priority="4" aboveAverage="0" equalAverage="0" bottom="0" percent="0" rank="0" text="" dxfId="9">
      <formula>$F4="B"</formula>
    </cfRule>
    <cfRule type="expression" priority="5" aboveAverage="0" equalAverage="0" bottom="0" percent="0" rank="0" text="" dxfId="10">
      <formula>$F4="C"</formula>
    </cfRule>
  </conditionalFormatting>
  <dataValidations count="3">
    <dataValidation allowBlank="true" errorStyle="stop" operator="between" showDropDown="false" showErrorMessage="false" showInputMessage="false" sqref="F4:F164" type="list">
      <formula1>"A,B,C,—"</formula1>
      <formula2>0</formula2>
    </dataValidation>
    <dataValidation allowBlank="true" errorStyle="stop" operator="between" showDropDown="false" showErrorMessage="false" showInputMessage="false" sqref="E4:E164" type="list">
      <formula1>"SDD,Accredito,Bancomat,CC moglie,Contanti,Buoni pasto,Gift card,Altro"</formula1>
      <formula2>0</formula2>
    </dataValidation>
    <dataValidation allowBlank="true" errorStyle="stop" operator="between" showDropDown="false" showErrorMessage="false" showInputMessage="false" sqref="H4:H164" type="list">
      <formula1>"Sì,No"</formula1>
      <formula2>0</formula2>
    </dataValidation>
  </dataValidations>
  <printOptions headings="false" gridLines="tru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G17" activeCellId="0" sqref="G17"/>
    </sheetView>
  </sheetViews>
  <sheetFormatPr defaultColWidth="9.7578125" defaultRowHeight="15" customHeight="true" zeroHeight="false" outlineLevelRow="0" outlineLevelCol="0"/>
  <cols>
    <col collapsed="false" customWidth="true" hidden="false" outlineLevel="0" max="1" min="1" style="0" width="13.62"/>
    <col collapsed="false" customWidth="true" hidden="false" outlineLevel="0" max="2" min="2" style="0" width="15.89"/>
    <col collapsed="false" customWidth="true" hidden="false" outlineLevel="0" max="3" min="3" style="0" width="43.14"/>
    <col collapsed="false" customWidth="true" hidden="false" outlineLevel="0" max="5" min="4" style="0" width="15.89"/>
    <col collapsed="false" customWidth="true" hidden="false" outlineLevel="0" max="6" min="6" style="0" width="9.08"/>
    <col collapsed="false" customWidth="true" hidden="false" outlineLevel="0" max="7" min="7" style="0" width="45.41"/>
    <col collapsed="false" customWidth="true" hidden="false" outlineLevel="0" max="8" min="8" style="0" width="11.35"/>
    <col collapsed="false" customWidth="true" hidden="false" outlineLevel="0" max="10" min="10" style="0" width="20.43"/>
    <col collapsed="false" customWidth="true" hidden="false" outlineLevel="0" max="11" min="11" style="0" width="18.16"/>
  </cols>
  <sheetData>
    <row r="1" customFormat="false" ht="27.75" hidden="false" customHeight="true" outlineLevel="0" collapsed="false">
      <c r="A1" s="9" t="s">
        <v>121</v>
      </c>
      <c r="B1" s="9"/>
      <c r="C1" s="9"/>
      <c r="D1" s="9"/>
      <c r="E1" s="9"/>
      <c r="F1" s="9"/>
      <c r="G1" s="9"/>
    </row>
    <row r="2" customFormat="false" ht="15" hidden="false" customHeight="false" outlineLevel="0" collapsed="false">
      <c r="F2" s="10" t="s">
        <v>63</v>
      </c>
      <c r="G2" s="4" t="n">
        <f aca="false">SUMIF($A:$A,"&lt;&gt;",$D:$D)</f>
        <v>2352</v>
      </c>
      <c r="J2" s="10" t="s">
        <v>64</v>
      </c>
      <c r="K2" s="4" t="n">
        <f aca="false">SUMIF($A:$A,"&lt;&gt;",$D:$D)</f>
        <v>2352</v>
      </c>
    </row>
    <row r="3" customFormat="false" ht="24" hidden="false" customHeight="true" outlineLevel="0" collapsed="false">
      <c r="A3" s="11" t="s">
        <v>65</v>
      </c>
      <c r="B3" s="11" t="s">
        <v>66</v>
      </c>
      <c r="C3" s="11" t="s">
        <v>67</v>
      </c>
      <c r="D3" s="11" t="s">
        <v>68</v>
      </c>
      <c r="E3" s="11" t="s">
        <v>69</v>
      </c>
      <c r="F3" s="11" t="s">
        <v>17</v>
      </c>
      <c r="G3" s="11" t="s">
        <v>70</v>
      </c>
      <c r="H3" s="11" t="s">
        <v>30</v>
      </c>
      <c r="J3" s="10" t="s">
        <v>71</v>
      </c>
      <c r="K3" s="4" t="n">
        <f aca="false">'11-Nov'!$K$3+$K$2</f>
        <v>2644.45</v>
      </c>
    </row>
    <row r="4" customFormat="false" ht="18" hidden="false" customHeight="true" outlineLevel="0" collapsed="false">
      <c r="A4" s="12" t="n">
        <v>46357</v>
      </c>
      <c r="B4" s="13" t="s">
        <v>72</v>
      </c>
      <c r="C4" s="13" t="s">
        <v>73</v>
      </c>
      <c r="D4" s="14" t="n">
        <v>-742</v>
      </c>
      <c r="E4" s="13" t="s">
        <v>74</v>
      </c>
      <c r="F4" s="15" t="s">
        <v>19</v>
      </c>
      <c r="G4" s="16" t="s">
        <v>75</v>
      </c>
      <c r="H4" s="17"/>
    </row>
    <row r="5" customFormat="false" ht="18" hidden="false" customHeight="true" outlineLevel="0" collapsed="false">
      <c r="A5" s="12" t="n">
        <v>46357</v>
      </c>
      <c r="B5" s="13" t="s">
        <v>76</v>
      </c>
      <c r="C5" s="13" t="s">
        <v>77</v>
      </c>
      <c r="D5" s="14" t="n">
        <v>-38</v>
      </c>
      <c r="E5" s="13" t="s">
        <v>74</v>
      </c>
      <c r="F5" s="15" t="s">
        <v>21</v>
      </c>
      <c r="G5" s="16" t="s">
        <v>78</v>
      </c>
      <c r="H5" s="17"/>
    </row>
    <row r="6" customFormat="false" ht="18" hidden="false" customHeight="true" outlineLevel="0" collapsed="false">
      <c r="A6" s="12" t="n">
        <v>46361</v>
      </c>
      <c r="B6" s="13" t="s">
        <v>86</v>
      </c>
      <c r="C6" s="13" t="s">
        <v>40</v>
      </c>
      <c r="D6" s="14" t="n">
        <v>-170</v>
      </c>
      <c r="E6" s="13" t="s">
        <v>84</v>
      </c>
      <c r="F6" s="15" t="s">
        <v>21</v>
      </c>
      <c r="G6" s="16"/>
      <c r="H6" s="17"/>
    </row>
    <row r="7" customFormat="false" ht="18" hidden="false" customHeight="true" outlineLevel="0" collapsed="false">
      <c r="A7" s="12" t="n">
        <v>46368</v>
      </c>
      <c r="B7" s="13" t="s">
        <v>86</v>
      </c>
      <c r="C7" s="13" t="s">
        <v>40</v>
      </c>
      <c r="D7" s="14" t="n">
        <v>-170</v>
      </c>
      <c r="E7" s="13" t="s">
        <v>84</v>
      </c>
      <c r="F7" s="15" t="s">
        <v>21</v>
      </c>
      <c r="G7" s="16"/>
      <c r="H7" s="17"/>
    </row>
    <row r="8" customFormat="false" ht="18" hidden="false" customHeight="true" outlineLevel="0" collapsed="false">
      <c r="A8" s="12" t="n">
        <v>46371</v>
      </c>
      <c r="B8" s="13" t="s">
        <v>72</v>
      </c>
      <c r="C8" s="13" t="s">
        <v>87</v>
      </c>
      <c r="D8" s="14" t="n">
        <v>-218</v>
      </c>
      <c r="E8" s="13" t="s">
        <v>74</v>
      </c>
      <c r="F8" s="15" t="s">
        <v>19</v>
      </c>
      <c r="G8" s="16" t="s">
        <v>88</v>
      </c>
      <c r="H8" s="17"/>
    </row>
    <row r="9" customFormat="false" ht="18" hidden="false" customHeight="true" outlineLevel="0" collapsed="false">
      <c r="A9" s="12" t="n">
        <v>46371</v>
      </c>
      <c r="B9" s="13" t="s">
        <v>72</v>
      </c>
      <c r="C9" s="13" t="s">
        <v>89</v>
      </c>
      <c r="D9" s="14" t="n">
        <v>-545</v>
      </c>
      <c r="E9" s="13" t="s">
        <v>74</v>
      </c>
      <c r="F9" s="15" t="s">
        <v>19</v>
      </c>
      <c r="G9" s="16" t="s">
        <v>90</v>
      </c>
      <c r="H9" s="17"/>
    </row>
    <row r="10" customFormat="false" ht="18" hidden="false" customHeight="true" outlineLevel="0" collapsed="false">
      <c r="A10" s="12" t="n">
        <v>46371</v>
      </c>
      <c r="B10" s="13" t="s">
        <v>91</v>
      </c>
      <c r="C10" s="13" t="s">
        <v>92</v>
      </c>
      <c r="D10" s="14" t="n">
        <v>-31</v>
      </c>
      <c r="E10" s="13" t="s">
        <v>74</v>
      </c>
      <c r="F10" s="15" t="s">
        <v>21</v>
      </c>
      <c r="G10" s="16" t="s">
        <v>93</v>
      </c>
      <c r="H10" s="17"/>
    </row>
    <row r="11" customFormat="false" ht="18" hidden="false" customHeight="true" outlineLevel="0" collapsed="false">
      <c r="A11" s="12" t="n">
        <v>46371</v>
      </c>
      <c r="B11" s="13" t="s">
        <v>91</v>
      </c>
      <c r="C11" s="13" t="s">
        <v>94</v>
      </c>
      <c r="D11" s="14" t="n">
        <v>-14</v>
      </c>
      <c r="E11" s="13" t="s">
        <v>74</v>
      </c>
      <c r="F11" s="15" t="s">
        <v>21</v>
      </c>
      <c r="G11" s="16" t="s">
        <v>93</v>
      </c>
      <c r="H11" s="17"/>
    </row>
    <row r="12" customFormat="false" ht="18" hidden="false" customHeight="true" outlineLevel="0" collapsed="false">
      <c r="A12" s="12" t="n">
        <v>46371</v>
      </c>
      <c r="B12" s="13" t="s">
        <v>91</v>
      </c>
      <c r="C12" s="13" t="s">
        <v>95</v>
      </c>
      <c r="D12" s="14" t="n">
        <v>-120</v>
      </c>
      <c r="E12" s="13" t="s">
        <v>74</v>
      </c>
      <c r="F12" s="15" t="s">
        <v>21</v>
      </c>
      <c r="G12" s="16" t="s">
        <v>96</v>
      </c>
      <c r="H12" s="17"/>
    </row>
    <row r="13" customFormat="false" ht="18" hidden="false" customHeight="true" outlineLevel="0" collapsed="false">
      <c r="A13" s="12" t="n">
        <v>46371</v>
      </c>
      <c r="B13" s="13" t="s">
        <v>91</v>
      </c>
      <c r="C13" s="13" t="s">
        <v>97</v>
      </c>
      <c r="D13" s="14" t="n">
        <v>-20</v>
      </c>
      <c r="E13" s="13" t="s">
        <v>74</v>
      </c>
      <c r="F13" s="15" t="s">
        <v>21</v>
      </c>
      <c r="G13" s="16" t="s">
        <v>96</v>
      </c>
      <c r="H13" s="17"/>
    </row>
    <row r="14" customFormat="false" ht="18" hidden="false" customHeight="true" outlineLevel="0" collapsed="false">
      <c r="A14" s="12" t="n">
        <v>46375</v>
      </c>
      <c r="B14" s="13" t="s">
        <v>86</v>
      </c>
      <c r="C14" s="13" t="s">
        <v>40</v>
      </c>
      <c r="D14" s="14" t="n">
        <v>-170</v>
      </c>
      <c r="E14" s="13" t="s">
        <v>84</v>
      </c>
      <c r="F14" s="15" t="s">
        <v>21</v>
      </c>
      <c r="G14" s="16"/>
      <c r="H14" s="17"/>
    </row>
    <row r="15" customFormat="false" ht="19.5" hidden="false" customHeight="true" outlineLevel="0" collapsed="false">
      <c r="A15" s="12" t="n">
        <v>46382</v>
      </c>
      <c r="B15" s="13" t="s">
        <v>86</v>
      </c>
      <c r="C15" s="13" t="s">
        <v>40</v>
      </c>
      <c r="D15" s="14" t="n">
        <v>-170</v>
      </c>
      <c r="E15" s="13" t="s">
        <v>84</v>
      </c>
      <c r="F15" s="15" t="s">
        <v>21</v>
      </c>
      <c r="G15" s="16"/>
      <c r="H15" s="17"/>
    </row>
    <row r="16" customFormat="false" ht="18" hidden="false" customHeight="true" outlineLevel="0" collapsed="false">
      <c r="A16" s="12" t="n">
        <v>46383</v>
      </c>
      <c r="B16" s="13" t="s">
        <v>98</v>
      </c>
      <c r="C16" s="13" t="s">
        <v>99</v>
      </c>
      <c r="D16" s="14" t="n">
        <f aca="false">2380*2</f>
        <v>4760</v>
      </c>
      <c r="E16" s="13" t="s">
        <v>100</v>
      </c>
      <c r="F16" s="15" t="s">
        <v>19</v>
      </c>
      <c r="G16" s="16" t="s">
        <v>122</v>
      </c>
      <c r="H16" s="17"/>
    </row>
    <row r="17" customFormat="false" ht="18" hidden="false" customHeight="true" outlineLevel="0" collapsed="false">
      <c r="A17" s="12"/>
      <c r="B17" s="18"/>
      <c r="C17" s="18"/>
      <c r="D17" s="18"/>
      <c r="E17" s="18"/>
      <c r="F17" s="18"/>
      <c r="G17" s="18"/>
      <c r="H17" s="17"/>
    </row>
    <row r="18" customFormat="false" ht="18" hidden="false" customHeight="true" outlineLevel="0" collapsed="false">
      <c r="A18" s="19" t="s">
        <v>102</v>
      </c>
      <c r="B18" s="19"/>
      <c r="C18" s="19"/>
      <c r="D18" s="19"/>
      <c r="E18" s="19"/>
      <c r="F18" s="19"/>
      <c r="G18" s="19"/>
      <c r="H18" s="19"/>
    </row>
    <row r="19" customFormat="false" ht="18" hidden="false" customHeight="true" outlineLevel="0" collapsed="false">
      <c r="A19" s="12" t="s">
        <v>103</v>
      </c>
      <c r="B19" s="18"/>
      <c r="C19" s="18"/>
      <c r="D19" s="18"/>
      <c r="E19" s="18"/>
      <c r="F19" s="18"/>
      <c r="G19" s="18"/>
      <c r="H19" s="17"/>
    </row>
    <row r="20" customFormat="false" ht="16.4" hidden="false" customHeight="false" outlineLevel="0" collapsed="false">
      <c r="A20" s="12" t="s">
        <v>104</v>
      </c>
      <c r="B20" s="18"/>
      <c r="C20" s="18"/>
      <c r="D20" s="18"/>
      <c r="E20" s="18"/>
      <c r="F20" s="18"/>
      <c r="G20" s="18"/>
      <c r="H20" s="17"/>
    </row>
    <row r="21" customFormat="false" ht="16.4" hidden="false" customHeight="false" outlineLevel="0" collapsed="false">
      <c r="A21" s="12" t="s">
        <v>105</v>
      </c>
      <c r="B21" s="20"/>
      <c r="C21" s="20"/>
      <c r="D21" s="20"/>
      <c r="E21" s="20"/>
      <c r="F21" s="20"/>
      <c r="G21" s="21"/>
      <c r="H21" s="17"/>
    </row>
    <row r="22" customFormat="false" ht="16.4" hidden="false" customHeight="false" outlineLevel="0" collapsed="false">
      <c r="A22" s="12" t="s">
        <v>106</v>
      </c>
      <c r="B22" s="20"/>
      <c r="C22" s="20"/>
      <c r="D22" s="20"/>
      <c r="E22" s="20"/>
      <c r="F22" s="20"/>
      <c r="G22" s="21"/>
      <c r="H22" s="17"/>
    </row>
    <row r="23" customFormat="false" ht="15" hidden="false" customHeight="false" outlineLevel="0" collapsed="false">
      <c r="A23" s="12"/>
      <c r="B23" s="13"/>
      <c r="C23" s="13"/>
      <c r="D23" s="18"/>
      <c r="E23" s="18"/>
      <c r="F23" s="18"/>
      <c r="G23" s="18"/>
      <c r="H23" s="17"/>
    </row>
    <row r="24" customFormat="false" ht="16.4" hidden="false" customHeight="false" outlineLevel="0" collapsed="false">
      <c r="A24" s="12"/>
      <c r="B24" s="13"/>
      <c r="C24" s="13"/>
      <c r="D24" s="20"/>
      <c r="E24" s="20"/>
      <c r="F24" s="20"/>
      <c r="G24" s="21"/>
      <c r="H24" s="17"/>
    </row>
    <row r="25" customFormat="false" ht="15" hidden="false" customHeight="false" outlineLevel="0" collapsed="false">
      <c r="A25" s="12"/>
      <c r="B25" s="13"/>
      <c r="C25" s="13"/>
      <c r="D25" s="14"/>
      <c r="E25" s="13"/>
      <c r="F25" s="15"/>
      <c r="G25" s="16"/>
      <c r="H25" s="17"/>
    </row>
    <row r="26" customFormat="false" ht="15" hidden="false" customHeight="false" outlineLevel="0" collapsed="false">
      <c r="A26" s="12"/>
      <c r="B26" s="13"/>
      <c r="C26" s="13"/>
      <c r="D26" s="14"/>
      <c r="E26" s="13"/>
      <c r="F26" s="15"/>
      <c r="G26" s="16"/>
      <c r="H26" s="17"/>
    </row>
    <row r="27" customFormat="false" ht="15" hidden="false" customHeight="false" outlineLevel="0" collapsed="false">
      <c r="A27" s="12"/>
      <c r="B27" s="13"/>
      <c r="C27" s="13"/>
      <c r="D27" s="14"/>
      <c r="E27" s="13"/>
      <c r="F27" s="15"/>
      <c r="G27" s="16"/>
      <c r="H27" s="17"/>
    </row>
    <row r="28" customFormat="false" ht="15" hidden="false" customHeight="false" outlineLevel="0" collapsed="false">
      <c r="A28" s="12"/>
      <c r="B28" s="13"/>
      <c r="C28" s="13"/>
      <c r="D28" s="14"/>
      <c r="E28" s="13"/>
      <c r="F28" s="15"/>
      <c r="G28" s="16"/>
      <c r="H28" s="17"/>
    </row>
    <row r="29" customFormat="false" ht="15" hidden="false" customHeight="false" outlineLevel="0" collapsed="false">
      <c r="A29" s="12"/>
      <c r="B29" s="13"/>
      <c r="C29" s="13"/>
      <c r="D29" s="14"/>
      <c r="E29" s="13"/>
      <c r="F29" s="15"/>
      <c r="G29" s="16"/>
      <c r="H29" s="17"/>
    </row>
    <row r="30" customFormat="false" ht="15" hidden="false" customHeight="false" outlineLevel="0" collapsed="false">
      <c r="A30" s="12"/>
      <c r="B30" s="13"/>
      <c r="C30" s="13"/>
      <c r="D30" s="14"/>
      <c r="E30" s="13"/>
      <c r="F30" s="15"/>
      <c r="G30" s="16"/>
      <c r="H30" s="17"/>
    </row>
    <row r="31" customFormat="false" ht="15" hidden="false" customHeight="false" outlineLevel="0" collapsed="false">
      <c r="A31" s="12"/>
      <c r="B31" s="13"/>
      <c r="C31" s="13"/>
      <c r="D31" s="14"/>
      <c r="E31" s="13"/>
      <c r="F31" s="15"/>
      <c r="G31" s="16"/>
      <c r="H31" s="17"/>
    </row>
    <row r="32" customFormat="false" ht="15" hidden="false" customHeight="false" outlineLevel="0" collapsed="false">
      <c r="A32" s="12"/>
      <c r="B32" s="13"/>
      <c r="C32" s="13"/>
      <c r="D32" s="14"/>
      <c r="E32" s="13"/>
      <c r="F32" s="15"/>
      <c r="G32" s="16"/>
      <c r="H32" s="17"/>
    </row>
    <row r="33" customFormat="false" ht="15" hidden="false" customHeight="false" outlineLevel="0" collapsed="false">
      <c r="A33" s="12"/>
      <c r="B33" s="13"/>
      <c r="C33" s="13"/>
      <c r="D33" s="14"/>
      <c r="E33" s="13"/>
      <c r="F33" s="15"/>
      <c r="G33" s="16"/>
      <c r="H33" s="17"/>
    </row>
    <row r="34" customFormat="false" ht="15" hidden="false" customHeight="false" outlineLevel="0" collapsed="false">
      <c r="A34" s="12"/>
      <c r="B34" s="13"/>
      <c r="C34" s="13"/>
      <c r="D34" s="14"/>
      <c r="E34" s="13"/>
      <c r="F34" s="15"/>
      <c r="G34" s="16"/>
      <c r="H34" s="17"/>
    </row>
    <row r="35" customFormat="false" ht="15" hidden="false" customHeight="false" outlineLevel="0" collapsed="false">
      <c r="A35" s="12"/>
      <c r="B35" s="13"/>
      <c r="C35" s="13"/>
      <c r="D35" s="14"/>
      <c r="E35" s="13"/>
      <c r="F35" s="15"/>
      <c r="G35" s="16"/>
      <c r="H35" s="17"/>
    </row>
    <row r="36" customFormat="false" ht="15" hidden="false" customHeight="false" outlineLevel="0" collapsed="false">
      <c r="A36" s="12"/>
      <c r="B36" s="13"/>
      <c r="C36" s="13"/>
      <c r="D36" s="14"/>
      <c r="E36" s="13"/>
      <c r="F36" s="15"/>
      <c r="G36" s="16"/>
      <c r="H36" s="17"/>
    </row>
    <row r="37" customFormat="false" ht="15" hidden="false" customHeight="false" outlineLevel="0" collapsed="false">
      <c r="A37" s="12"/>
      <c r="B37" s="13"/>
      <c r="C37" s="13"/>
      <c r="D37" s="14"/>
      <c r="E37" s="13"/>
      <c r="F37" s="15"/>
      <c r="G37" s="16"/>
      <c r="H37" s="17"/>
    </row>
    <row r="38" customFormat="false" ht="15" hidden="false" customHeight="false" outlineLevel="0" collapsed="false">
      <c r="A38" s="12"/>
      <c r="B38" s="13"/>
      <c r="C38" s="13"/>
      <c r="D38" s="14"/>
      <c r="E38" s="13"/>
      <c r="F38" s="15"/>
      <c r="G38" s="16"/>
      <c r="H38" s="17"/>
    </row>
    <row r="39" customFormat="false" ht="15" hidden="false" customHeight="false" outlineLevel="0" collapsed="false">
      <c r="A39" s="12"/>
      <c r="B39" s="13"/>
      <c r="C39" s="13"/>
      <c r="D39" s="14"/>
      <c r="E39" s="13"/>
      <c r="F39" s="15"/>
      <c r="G39" s="16"/>
      <c r="H39" s="17"/>
    </row>
    <row r="40" customFormat="false" ht="15" hidden="false" customHeight="false" outlineLevel="0" collapsed="false">
      <c r="A40" s="12"/>
      <c r="B40" s="13"/>
      <c r="C40" s="13"/>
      <c r="D40" s="14"/>
      <c r="E40" s="13"/>
      <c r="F40" s="15"/>
      <c r="G40" s="16"/>
      <c r="H40" s="17"/>
    </row>
    <row r="41" customFormat="false" ht="15" hidden="false" customHeight="false" outlineLevel="0" collapsed="false">
      <c r="A41" s="12"/>
      <c r="B41" s="13"/>
      <c r="C41" s="13"/>
      <c r="D41" s="14"/>
      <c r="E41" s="13"/>
      <c r="F41" s="15"/>
      <c r="G41" s="16"/>
      <c r="H41" s="17"/>
    </row>
    <row r="42" customFormat="false" ht="15" hidden="false" customHeight="false" outlineLevel="0" collapsed="false">
      <c r="A42" s="12"/>
      <c r="B42" s="13"/>
      <c r="C42" s="13"/>
      <c r="D42" s="14"/>
      <c r="E42" s="13"/>
      <c r="F42" s="15"/>
      <c r="G42" s="16"/>
      <c r="H42" s="17"/>
    </row>
    <row r="43" customFormat="false" ht="15" hidden="false" customHeight="false" outlineLevel="0" collapsed="false">
      <c r="A43" s="12"/>
      <c r="B43" s="13"/>
      <c r="C43" s="13"/>
      <c r="D43" s="14"/>
      <c r="E43" s="13"/>
      <c r="F43" s="15"/>
      <c r="G43" s="16"/>
      <c r="H43" s="17"/>
    </row>
    <row r="44" customFormat="false" ht="15" hidden="false" customHeight="false" outlineLevel="0" collapsed="false">
      <c r="A44" s="12"/>
      <c r="B44" s="13"/>
      <c r="C44" s="13"/>
      <c r="D44" s="14"/>
      <c r="E44" s="13"/>
      <c r="F44" s="15"/>
      <c r="G44" s="16"/>
      <c r="H44" s="17"/>
    </row>
    <row r="45" customFormat="false" ht="15" hidden="false" customHeight="false" outlineLevel="0" collapsed="false">
      <c r="A45" s="12"/>
      <c r="B45" s="13"/>
      <c r="C45" s="13"/>
      <c r="D45" s="14"/>
      <c r="E45" s="13"/>
      <c r="F45" s="15"/>
      <c r="G45" s="16"/>
      <c r="H45" s="17"/>
    </row>
    <row r="46" customFormat="false" ht="15" hidden="false" customHeight="false" outlineLevel="0" collapsed="false">
      <c r="A46" s="12"/>
      <c r="B46" s="13"/>
      <c r="C46" s="13"/>
      <c r="D46" s="14"/>
      <c r="E46" s="13"/>
      <c r="F46" s="15"/>
      <c r="G46" s="16"/>
      <c r="H46" s="17"/>
    </row>
    <row r="47" customFormat="false" ht="15" hidden="false" customHeight="false" outlineLevel="0" collapsed="false">
      <c r="A47" s="12"/>
      <c r="B47" s="13"/>
      <c r="C47" s="13"/>
      <c r="D47" s="14"/>
      <c r="E47" s="13"/>
      <c r="F47" s="15"/>
      <c r="G47" s="16"/>
      <c r="H47" s="17"/>
    </row>
    <row r="48" customFormat="false" ht="15" hidden="false" customHeight="false" outlineLevel="0" collapsed="false">
      <c r="A48" s="12"/>
      <c r="B48" s="13"/>
      <c r="C48" s="13"/>
      <c r="D48" s="14"/>
      <c r="E48" s="13"/>
      <c r="F48" s="15"/>
      <c r="G48" s="16"/>
      <c r="H48" s="17"/>
    </row>
    <row r="49" customFormat="false" ht="15" hidden="false" customHeight="false" outlineLevel="0" collapsed="false">
      <c r="A49" s="12"/>
      <c r="B49" s="13"/>
      <c r="C49" s="13"/>
      <c r="D49" s="14"/>
      <c r="E49" s="13"/>
      <c r="F49" s="15"/>
      <c r="G49" s="16"/>
      <c r="H49" s="17"/>
    </row>
    <row r="50" customFormat="false" ht="15" hidden="false" customHeight="false" outlineLevel="0" collapsed="false">
      <c r="A50" s="12"/>
      <c r="B50" s="13"/>
      <c r="C50" s="13"/>
      <c r="D50" s="14"/>
      <c r="E50" s="13"/>
      <c r="F50" s="15"/>
      <c r="G50" s="16"/>
      <c r="H50" s="17"/>
    </row>
    <row r="51" customFormat="false" ht="15" hidden="false" customHeight="false" outlineLevel="0" collapsed="false">
      <c r="A51" s="12"/>
      <c r="B51" s="13"/>
      <c r="C51" s="13"/>
      <c r="D51" s="14"/>
      <c r="E51" s="13"/>
      <c r="F51" s="15"/>
      <c r="G51" s="16"/>
      <c r="H51" s="17"/>
    </row>
    <row r="52" customFormat="false" ht="15" hidden="false" customHeight="false" outlineLevel="0" collapsed="false">
      <c r="A52" s="12"/>
      <c r="B52" s="13"/>
      <c r="C52" s="13"/>
      <c r="D52" s="14"/>
      <c r="E52" s="13"/>
      <c r="F52" s="15"/>
      <c r="G52" s="16"/>
      <c r="H52" s="17"/>
    </row>
    <row r="53" customFormat="false" ht="15" hidden="false" customHeight="false" outlineLevel="0" collapsed="false">
      <c r="A53" s="12"/>
      <c r="B53" s="13"/>
      <c r="C53" s="13"/>
      <c r="D53" s="14"/>
      <c r="E53" s="13"/>
      <c r="F53" s="15"/>
      <c r="G53" s="16"/>
      <c r="H53" s="17"/>
    </row>
    <row r="54" customFormat="false" ht="15" hidden="false" customHeight="false" outlineLevel="0" collapsed="false">
      <c r="A54" s="12"/>
      <c r="B54" s="13"/>
      <c r="C54" s="13"/>
      <c r="D54" s="14"/>
      <c r="E54" s="13"/>
      <c r="F54" s="15"/>
      <c r="G54" s="16"/>
      <c r="H54" s="17"/>
    </row>
    <row r="55" customFormat="false" ht="15" hidden="false" customHeight="false" outlineLevel="0" collapsed="false">
      <c r="A55" s="12"/>
      <c r="B55" s="13"/>
      <c r="C55" s="13"/>
      <c r="D55" s="14"/>
      <c r="E55" s="13"/>
      <c r="F55" s="15"/>
      <c r="G55" s="16"/>
      <c r="H55" s="17"/>
    </row>
    <row r="56" customFormat="false" ht="15" hidden="false" customHeight="false" outlineLevel="0" collapsed="false">
      <c r="A56" s="12"/>
      <c r="B56" s="13"/>
      <c r="C56" s="13"/>
      <c r="D56" s="14"/>
      <c r="E56" s="13"/>
      <c r="F56" s="15"/>
      <c r="G56" s="16"/>
      <c r="H56" s="17"/>
    </row>
    <row r="57" customFormat="false" ht="15" hidden="false" customHeight="false" outlineLevel="0" collapsed="false">
      <c r="A57" s="12"/>
      <c r="B57" s="13"/>
      <c r="C57" s="13"/>
      <c r="D57" s="14"/>
      <c r="E57" s="13"/>
      <c r="F57" s="15"/>
      <c r="G57" s="16"/>
      <c r="H57" s="17"/>
    </row>
    <row r="58" customFormat="false" ht="15" hidden="false" customHeight="false" outlineLevel="0" collapsed="false">
      <c r="A58" s="12"/>
      <c r="B58" s="13"/>
      <c r="C58" s="13"/>
      <c r="D58" s="14"/>
      <c r="E58" s="13"/>
      <c r="F58" s="15"/>
      <c r="G58" s="16"/>
      <c r="H58" s="17"/>
    </row>
    <row r="59" customFormat="false" ht="15" hidden="false" customHeight="false" outlineLevel="0" collapsed="false">
      <c r="A59" s="12"/>
      <c r="B59" s="13"/>
      <c r="C59" s="13"/>
      <c r="D59" s="14"/>
      <c r="E59" s="13"/>
      <c r="F59" s="15"/>
      <c r="G59" s="16"/>
      <c r="H59" s="17"/>
    </row>
    <row r="60" customFormat="false" ht="15" hidden="false" customHeight="false" outlineLevel="0" collapsed="false">
      <c r="A60" s="12"/>
      <c r="B60" s="13"/>
      <c r="C60" s="13"/>
      <c r="D60" s="14"/>
      <c r="E60" s="13"/>
      <c r="F60" s="15"/>
      <c r="G60" s="16"/>
      <c r="H60" s="17"/>
    </row>
    <row r="61" customFormat="false" ht="15" hidden="false" customHeight="false" outlineLevel="0" collapsed="false">
      <c r="A61" s="12"/>
      <c r="B61" s="13"/>
      <c r="C61" s="13"/>
      <c r="D61" s="14"/>
      <c r="E61" s="13"/>
      <c r="F61" s="15"/>
      <c r="G61" s="16"/>
      <c r="H61" s="17"/>
    </row>
    <row r="62" customFormat="false" ht="15" hidden="false" customHeight="false" outlineLevel="0" collapsed="false">
      <c r="A62" s="12"/>
      <c r="B62" s="13"/>
      <c r="C62" s="13"/>
      <c r="D62" s="14"/>
      <c r="E62" s="13"/>
      <c r="F62" s="15"/>
      <c r="G62" s="16"/>
      <c r="H62" s="17"/>
    </row>
    <row r="63" customFormat="false" ht="15" hidden="false" customHeight="false" outlineLevel="0" collapsed="false">
      <c r="A63" s="12"/>
      <c r="B63" s="13"/>
      <c r="C63" s="13"/>
      <c r="D63" s="14"/>
      <c r="E63" s="13"/>
      <c r="F63" s="15"/>
      <c r="G63" s="16"/>
      <c r="H63" s="17"/>
    </row>
    <row r="64" customFormat="false" ht="15" hidden="false" customHeight="false" outlineLevel="0" collapsed="false">
      <c r="A64" s="12"/>
      <c r="B64" s="13"/>
      <c r="C64" s="13"/>
      <c r="D64" s="14"/>
      <c r="E64" s="13"/>
      <c r="F64" s="15"/>
      <c r="G64" s="16"/>
      <c r="H64" s="17"/>
    </row>
    <row r="65" customFormat="false" ht="15" hidden="false" customHeight="false" outlineLevel="0" collapsed="false">
      <c r="A65" s="12"/>
      <c r="B65" s="22"/>
      <c r="C65" s="22"/>
      <c r="D65" s="14"/>
      <c r="E65" s="22"/>
      <c r="F65" s="17"/>
      <c r="G65" s="23"/>
      <c r="H65" s="17"/>
    </row>
  </sheetData>
  <sheetProtection sheet="true" formatCells="false"/>
  <autoFilter ref="A3:H164"/>
  <mergeCells count="2">
    <mergeCell ref="A1:G1"/>
    <mergeCell ref="A18:H18"/>
  </mergeCells>
  <conditionalFormatting sqref="A4:G64">
    <cfRule type="cellIs" priority="2" operator="equal" aboveAverage="0" equalAverage="0" bottom="0" percent="0" rank="0" text="" dxfId="8">
      <formula>"A"</formula>
    </cfRule>
    <cfRule type="expression" priority="3" aboveAverage="0" equalAverage="0" bottom="0" percent="0" rank="0" text="" dxfId="8">
      <formula>$F4="A"</formula>
    </cfRule>
    <cfRule type="expression" priority="4" aboveAverage="0" equalAverage="0" bottom="0" percent="0" rank="0" text="" dxfId="9">
      <formula>$F4="B"</formula>
    </cfRule>
    <cfRule type="expression" priority="5" aboveAverage="0" equalAverage="0" bottom="0" percent="0" rank="0" text="" dxfId="10">
      <formula>$F4="C"</formula>
    </cfRule>
  </conditionalFormatting>
  <dataValidations count="3">
    <dataValidation allowBlank="true" errorStyle="stop" operator="between" showDropDown="false" showErrorMessage="false" showInputMessage="false" sqref="F4:F164" type="list">
      <formula1>"A,B,C,—"</formula1>
      <formula2>0</formula2>
    </dataValidation>
    <dataValidation allowBlank="true" errorStyle="stop" operator="between" showDropDown="false" showErrorMessage="false" showInputMessage="false" sqref="E4:E164" type="list">
      <formula1>"SDD,Accredito,Bancomat,CC moglie,Contanti,Buoni pasto,Gift card,Altro"</formula1>
      <formula2>0</formula2>
    </dataValidation>
    <dataValidation allowBlank="true" errorStyle="stop" operator="between" showDropDown="false" showErrorMessage="false" showInputMessage="false" sqref="H4:H164" type="list">
      <formula1>"Sì,No"</formula1>
      <formula2>0</formula2>
    </dataValidation>
  </dataValidations>
  <printOptions headings="false" gridLines="tru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2025-12-19T20:33:44Z</dcterms:created>
  <dc:creator>openpyxl</dc:creator>
  <dc:description/>
  <dc:language>it-IT</dc:language>
  <cp:lastModifiedBy/>
  <dcterms:modified xsi:type="dcterms:W3CDTF">2025-12-20T08:41:51Z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
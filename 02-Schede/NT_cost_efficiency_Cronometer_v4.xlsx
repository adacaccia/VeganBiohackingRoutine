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<sst xmlns="http://schemas.openxmlformats.org/spreadsheetml/2006/main" count="228" uniqueCount="50">
  <si>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</si>
  <si>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</si>
  <si>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</si>
  <si>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</si>
  <si>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</si>
  <si>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</si>
  <si>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</si>
  <si>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</si>
  <si>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</si>
  <si>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</si>
  <si>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</si>
  <si>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</si>
  <si>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</si>
  <si>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</si>
  <si>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</si>
  <si>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</si>
  <si>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</si>
  <si>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Cirio "Passata Verace"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</si>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</sst>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1" t="s">
        <v>17</v>
      </c>
      <c r="B6" s="1" t="n">
        <v>500</v>
      </c>
      <c r="C6" s="1" t="s">
        <v>9</v>
      </c>
      <c r="D6" s="4" t="n">
        <f aca="false">1.29/0.7*B6/1000</f>
        <v>0.921428571428572</v>
      </c>
      <c r="E6" s="2" t="n">
        <v>3</v>
      </c>
      <c r="F6" s="4" t="n">
        <f aca="false">IF(D6&gt;0, E6/D6, 0)</f>
        <v>3.25581395348837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5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6" t="n">
        <f aca="false">11*B14/1000</f>
        <v>0</v>
      </c>
      <c r="E14" s="7" t="n">
        <v>0</v>
      </c>
      <c r="F14" s="6" t="n">
        <f aca="false">IF(D14&gt;0, E14/D14, 0)</f>
        <v>0</v>
      </c>
      <c r="G14" s="1" t="s">
        <v>10</v>
      </c>
      <c r="H14" s="1" t="s">
        <v>31</v>
      </c>
    </row>
    <row r="15" s="1" customFormat="true" ht="16.9" hidden="false" customHeight="true" outlineLevel="0" collapsed="false">
      <c r="B15" s="8"/>
      <c r="C15" s="8"/>
      <c r="D15" s="9" t="n">
        <f aca="false">SUM(D2:D14)</f>
        <v>8.65473581881533</v>
      </c>
      <c r="E15" s="10" t="n">
        <f aca="false">SUM(E2:E14)</f>
        <v>24</v>
      </c>
      <c r="F15" s="9" t="n">
        <f aca="false">IF(D15&gt;0, E15/D15, 0)</f>
        <v>2.7730482480845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E13" activeCellId="0" sqref="E13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700</v>
      </c>
      <c r="C7" s="1" t="s">
        <v>9</v>
      </c>
      <c r="D7" s="4" t="n">
        <f aca="false">1.29/0.7*B7/1000</f>
        <v>1.29</v>
      </c>
      <c r="E7" s="2" t="n">
        <v>3</v>
      </c>
      <c r="F7" s="4" t="n">
        <f aca="false">IF(D7&gt;0, E7/D7, 0)</f>
        <v>2.32558139534884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5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30</v>
      </c>
      <c r="C12" s="1" t="s">
        <v>9</v>
      </c>
      <c r="D12" s="4" t="n">
        <f aca="false">11*B12/1000</f>
        <v>0.33</v>
      </c>
      <c r="E12" s="2" t="n">
        <v>3</v>
      </c>
      <c r="F12" s="4" t="n">
        <f aca="false">IF(D12&gt;0, E12/D12, 0)</f>
        <v>9.09090909090909</v>
      </c>
      <c r="G12" s="1" t="s">
        <v>10</v>
      </c>
      <c r="H12" s="1" t="s">
        <v>31</v>
      </c>
    </row>
    <row r="13" s="1" customFormat="true" ht="15" hidden="false" customHeight="true" outlineLevel="0" collapsed="false">
      <c r="B13" s="8"/>
      <c r="C13" s="8"/>
      <c r="D13" s="11" t="n">
        <f aca="false">SUM(D2:D12)</f>
        <v>8.11697066202091</v>
      </c>
      <c r="E13" s="12" t="n">
        <f aca="false">SUM(E2:E12)</f>
        <v>30</v>
      </c>
      <c r="F13" s="11" t="n">
        <f aca="false">IF(D13&gt;0, E13/D13, 0)</f>
        <v>3.69596013699658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1" t="s">
        <v>17</v>
      </c>
      <c r="B8" s="1" t="n">
        <v>1000</v>
      </c>
      <c r="C8" s="1" t="s">
        <v>9</v>
      </c>
      <c r="D8" s="4" t="n">
        <f aca="false">1.29/0.7*B8/1000</f>
        <v>1.84285714285714</v>
      </c>
      <c r="E8" s="2" t="n">
        <v>3</v>
      </c>
      <c r="F8" s="4" t="n">
        <f aca="false">IF(D8&gt;0, E8/D8, 0)</f>
        <v>1.62790697674419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8</v>
      </c>
      <c r="C11" s="1" t="s">
        <v>9</v>
      </c>
      <c r="D11" s="4" t="n">
        <f aca="false">11*B11/1000</f>
        <v>0.088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s="1" customFormat="true" ht="15" hidden="false" customHeight="true" outlineLevel="0" collapsed="false">
      <c r="D12" s="11" t="n">
        <f aca="false">SUM(D2:D11)</f>
        <v>6.5477581184669</v>
      </c>
      <c r="E12" s="12" t="n">
        <f aca="false">SUM(E2:E11)</f>
        <v>27</v>
      </c>
      <c r="F12" s="11" t="n">
        <f aca="false">IF(D12&gt;0, E12/D12, 0)</f>
        <v>4.123548779826</v>
      </c>
    </row>
    <row r="15" s="1" customFormat="true" ht="15" hidden="false" customHeight="true" outlineLevel="0" collapsed="false">
      <c r="B15" s="8"/>
      <c r="C15" s="8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A10" s="1" t="s">
        <v>30</v>
      </c>
      <c r="B10" s="1" t="n">
        <v>8</v>
      </c>
      <c r="C10" s="1" t="s">
        <v>9</v>
      </c>
      <c r="D10" s="4" t="n">
        <f aca="false">11*B10/1000</f>
        <v>0.088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31</v>
      </c>
    </row>
    <row r="11" s="1" customFormat="true" ht="15" hidden="false" customHeight="true" outlineLevel="0" collapsed="false">
      <c r="B11" s="8"/>
      <c r="C11" s="8"/>
      <c r="D11" s="11" t="n">
        <f aca="false">SUM(D2:D10)</f>
        <v>6.44111177700348</v>
      </c>
      <c r="E11" s="12" t="n">
        <f aca="false">SUM(E2:E10)</f>
        <v>29</v>
      </c>
      <c r="F11" s="11" t="n">
        <f aca="false">IF(D11&gt;0, E11/D11, 0)</f>
        <v>4.50232832529593</v>
      </c>
    </row>
    <row r="12" s="1" customFormat="true" ht="15" hidden="false" customHeight="true" outlineLevel="0" collapsed="false">
      <c r="F12" s="13"/>
    </row>
    <row r="1048572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17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8"/>
      <c r="C8" s="8"/>
      <c r="D8" s="11" t="n">
        <f aca="false">SUM(D2:D7)</f>
        <v>6.43987177700348</v>
      </c>
      <c r="E8" s="12" t="n">
        <f aca="false">SUM(E2:E7)</f>
        <v>31</v>
      </c>
      <c r="F8" s="11" t="n">
        <f aca="false">IF(D8&gt;0, E8/D8, 0)</f>
        <v>4.8137604401845</v>
      </c>
    </row>
    <row r="9" s="1" customFormat="true" ht="15" hidden="false" customHeight="true" outlineLevel="0" collapsed="false">
      <c r="F9" s="13"/>
    </row>
    <row r="10" s="1" customFormat="true" ht="15" hidden="false" customHeight="true" outlineLevel="0" collapsed="false">
      <c r="F10" s="13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G4" activeCellId="0" sqref="G4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4" width="19.29"/>
    <col collapsed="false" customWidth="true" hidden="false" outlineLevel="0" max="7" min="7" style="14" width="12.49"/>
    <col collapsed="false" customWidth="true" hidden="false" outlineLevel="0" max="8" min="8" style="15" width="7.38"/>
    <col collapsed="false" customWidth="true" hidden="false" outlineLevel="0" max="10" min="10" style="16" width="14.76"/>
  </cols>
  <sheetData>
    <row r="1" s="18" customFormat="true" ht="13.8" hidden="false" customHeight="true" outlineLevel="0" collapsed="false">
      <c r="A1" s="17" t="s">
        <v>32</v>
      </c>
      <c r="B1" s="17" t="s">
        <v>33</v>
      </c>
      <c r="C1" s="17" t="s">
        <v>34</v>
      </c>
      <c r="D1" s="17" t="s">
        <v>1</v>
      </c>
      <c r="E1" s="17" t="s">
        <v>2</v>
      </c>
      <c r="F1" s="17" t="s">
        <v>35</v>
      </c>
      <c r="G1" s="17" t="s">
        <v>36</v>
      </c>
      <c r="H1" s="17" t="s">
        <v>37</v>
      </c>
      <c r="J1" s="16"/>
    </row>
    <row r="2" s="1" customFormat="true" ht="13.8" hidden="false" customHeight="true" outlineLevel="0" collapsed="false">
      <c r="A2" s="1" t="s">
        <v>38</v>
      </c>
      <c r="B2" s="19" t="n">
        <v>45989</v>
      </c>
      <c r="C2" s="1" t="s">
        <v>39</v>
      </c>
      <c r="D2" s="1" t="n">
        <f aca="false">1.15+0.275+0.025</f>
        <v>1.45</v>
      </c>
      <c r="E2" s="1" t="s">
        <v>40</v>
      </c>
      <c r="F2" s="14" t="n">
        <v>45994</v>
      </c>
      <c r="G2" s="14" t="n">
        <f aca="false">F2+D2/(0.06+0.02)</f>
        <v>46012.125</v>
      </c>
      <c r="H2" s="15" t="n">
        <f aca="false">Fase1!D$15</f>
        <v>8.65473581881533</v>
      </c>
      <c r="J2" s="16"/>
    </row>
    <row r="3" s="1" customFormat="true" ht="13.8" hidden="false" customHeight="true" outlineLevel="0" collapsed="false">
      <c r="A3" s="1" t="s">
        <v>41</v>
      </c>
      <c r="B3" s="19" t="n">
        <f aca="false">G2+1</f>
        <v>46013.125</v>
      </c>
      <c r="C3" s="1" t="s">
        <v>42</v>
      </c>
      <c r="D3" s="1" t="n">
        <f aca="false">29+11</f>
        <v>40</v>
      </c>
      <c r="E3" s="1" t="s">
        <v>20</v>
      </c>
      <c r="F3" s="14" t="n">
        <v>45994</v>
      </c>
      <c r="G3" s="14" t="n">
        <f aca="false">F3+D3/(13/7)</f>
        <v>46015.5384615385</v>
      </c>
      <c r="H3" s="15" t="n">
        <f aca="false">Fase2!D$13</f>
        <v>8.11697066202091</v>
      </c>
      <c r="J3" s="16"/>
    </row>
    <row r="4" s="1" customFormat="true" ht="13.8" hidden="false" customHeight="true" outlineLevel="0" collapsed="false">
      <c r="A4" s="1" t="s">
        <v>43</v>
      </c>
      <c r="B4" s="19" t="n">
        <f aca="false">G3+1</f>
        <v>46016.5384615385</v>
      </c>
      <c r="C4" s="1" t="s">
        <v>44</v>
      </c>
      <c r="D4" s="1" t="n">
        <v>6</v>
      </c>
      <c r="E4" s="1" t="s">
        <v>45</v>
      </c>
      <c r="F4" s="14" t="n">
        <v>45995</v>
      </c>
      <c r="G4" s="14" t="n">
        <f aca="false">F4+D4/0.25</f>
        <v>46019</v>
      </c>
      <c r="H4" s="15" t="n">
        <f aca="false">Fase3!D12</f>
        <v>6.5477581184669</v>
      </c>
      <c r="J4" s="16"/>
    </row>
    <row r="5" s="1" customFormat="true" ht="13.8" hidden="false" customHeight="true" outlineLevel="0" collapsed="false">
      <c r="A5" s="1" t="s">
        <v>46</v>
      </c>
      <c r="B5" s="19" t="n">
        <f aca="false">G4+1</f>
        <v>46020</v>
      </c>
      <c r="C5" s="1" t="s">
        <v>47</v>
      </c>
      <c r="D5" s="1" t="n">
        <v>0.6</v>
      </c>
      <c r="E5" s="1" t="s">
        <v>40</v>
      </c>
      <c r="F5" s="14" t="n">
        <v>45995</v>
      </c>
      <c r="G5" s="14" t="n">
        <f aca="false">F5+D5/0.02</f>
        <v>46025</v>
      </c>
      <c r="H5" s="15" t="n">
        <f aca="false">Fase4!D11</f>
        <v>6.44111177700348</v>
      </c>
      <c r="J5" s="16"/>
    </row>
    <row r="6" s="1" customFormat="true" ht="13.8" hidden="false" customHeight="true" outlineLevel="0" collapsed="false">
      <c r="A6" s="1" t="s">
        <v>48</v>
      </c>
      <c r="B6" s="19" t="n">
        <f aca="false">G5+1</f>
        <v>46026</v>
      </c>
      <c r="C6" s="1" t="s">
        <v>49</v>
      </c>
      <c r="F6" s="14"/>
      <c r="G6" s="14" t="n">
        <v>47483</v>
      </c>
      <c r="H6" s="15" t="n">
        <f aca="false">Fase5!D8</f>
        <v>6.43987177700348</v>
      </c>
      <c r="J6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2025-12-24T07:17:31Z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
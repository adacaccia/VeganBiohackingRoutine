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Fase1" sheetId="1" state="visible" r:id="rId3"/>
    <sheet name="Fase2" sheetId="2" state="visible" r:id="rId4"/>
    <sheet name="Fase3" sheetId="3" state="visible" r:id="rId5"/>
    <sheet name="Fase4" sheetId="4" state="visible" r:id="rId6"/>
    <sheet name="Fase5" sheetId="5" state="visible" r:id="rId7"/>
    <sheet name="Timelin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<sst xmlns="http://schemas.openxmlformats.org/spreadsheetml/2006/main" count="228" uniqueCount="50">
  <si>
    <t xml:space="preserve">Food</t>
  </si>
  <si>
    <t xml:space="preserve">Q</t>
  </si>
  <si>
    <t xml:space="preserve">Unit</t>
  </si>
  <si>
    <t xml:space="preserve">€</t>
  </si>
  <si>
    <t xml:space="preserve">%NT</t>
  </si>
  <si>
    <t xml:space="preserve">NT/€</t>
  </si>
  <si>
    <t xml:space="preserve">Meal</t>
  </si>
  <si>
    <t xml:space="preserve">Notes</t>
  </si>
  <si>
    <t xml:space="preserve">Rolled Oats, dry</t>
  </si>
  <si>
    <t xml:space="preserve">g</t>
  </si>
  <si>
    <t xml:space="preserve">Colazione</t>
  </si>
  <si>
    <t xml:space="preserve">Seeds, Flaxseed</t>
  </si>
  <si>
    <t xml:space="preserve">Elimination candidate: 4</t>
  </si>
  <si>
    <t xml:space="preserve">Chickpeas, dry, home soaked and cooked, no salt [AMC]</t>
  </si>
  <si>
    <t xml:space="preserve">Mattina</t>
  </si>
  <si>
    <t xml:space="preserve">Soy Milk, Plain or Original, Sweetened with Sugar, Ready-to-Drink, Enriched</t>
  </si>
  <si>
    <t xml:space="preserve">Elimination candidate: 5</t>
  </si>
  <si>
    <t xml:space="preserve">Cirio "Passata Verace" [AMC]</t>
  </si>
  <si>
    <t xml:space="preserve">Spinach, raw</t>
  </si>
  <si>
    <t xml:space="preserve">fit&amp;pro Vegan Protein Bar low sugar Lemon</t>
  </si>
  <si>
    <t xml:space="preserve">each</t>
  </si>
  <si>
    <t xml:space="preserve">Elimination candidate: 2</t>
  </si>
  <si>
    <t xml:space="preserve">Walnuts</t>
  </si>
  <si>
    <t xml:space="preserve">Sir Winston - Pure Green Tea</t>
  </si>
  <si>
    <t xml:space="preserve">Drink</t>
  </si>
  <si>
    <t xml:space="preserve">Sunfood, Organic Black Seeds Ancient Super Seed Nigella Sativa</t>
  </si>
  <si>
    <t xml:space="preserve">Cacao, Nibs, Raw Organic</t>
  </si>
  <si>
    <t xml:space="preserve">Elimination candidate: 1</t>
  </si>
  <si>
    <t xml:space="preserve">Igart – Pure Dried Cranberries</t>
  </si>
  <si>
    <t xml:space="preserve">Elimination candidate: 3</t>
  </si>
  <si>
    <t xml:space="preserve">Pumpkin or Squash Seeds, Shelled, Unsalted</t>
  </si>
  <si>
    <t xml:space="preserve">Elimination candidate: 6</t>
  </si>
  <si>
    <t xml:space="preserve">Fase</t>
  </si>
  <si>
    <t xml:space="preserve">Inizio fase</t>
  </si>
  <si>
    <t xml:space="preserve">Alimento da terminare</t>
  </si>
  <si>
    <t xml:space="preserve">Data misurazione</t>
  </si>
  <si>
    <t xml:space="preserve">Termina il</t>
  </si>
  <si>
    <t xml:space="preserve">Costo</t>
  </si>
  <si>
    <t xml:space="preserve">Fase1</t>
  </si>
  <si>
    <t xml:space="preserve">Cacao Nibs + Cranberries</t>
  </si>
  <si>
    <t xml:space="preserve">Kg</t>
  </si>
  <si>
    <t xml:space="preserve">Fase2</t>
  </si>
  <si>
    <t xml:space="preserve">Barrette</t>
  </si>
  <si>
    <t xml:space="preserve">Fase3</t>
  </si>
  <si>
    <t xml:space="preserve">Soy Milk</t>
  </si>
  <si>
    <t xml:space="preserve">liters</t>
  </si>
  <si>
    <t xml:space="preserve">Fase4</t>
  </si>
  <si>
    <t xml:space="preserve">Semi (tutti)</t>
  </si>
  <si>
    <t xml:space="preserve">Fase5</t>
  </si>
  <si>
    <t xml:space="preserve">Nessuno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</si>
</sst>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_-;\-* #,##0.00_-;_-* \-??_-;_-@_-"/>
    <numFmt numFmtId="166" formatCode="_-* #,##0_-;\-* #,##0_-;_-* \-_-;_-@_-"/>
    <numFmt numFmtId="167" formatCode="_-&quot;€ &quot;* #,##0.00_-;&quot;-€ &quot;* #,##0.00_-;_-&quot;€ &quot;* \-??_-;_-@_-"/>
    <numFmt numFmtId="168" formatCode="_-&quot;€ &quot;* #,##0_-;&quot;-€ &quot;* #,##0_-;_-&quot;€ &quot;* \-_-;_-@_-"/>
    <numFmt numFmtId="169" formatCode="0%"/>
    <numFmt numFmtId="170" formatCode="@"/>
    <numFmt numFmtId="171" formatCode="#,##0.00"/>
    <numFmt numFmtId="172" formatCode="0.00"/>
    <numFmt numFmtId="173" formatCode="0.00000"/>
    <numFmt numFmtId="174" formatCode="dd/mm/yyyy"/>
    <numFmt numFmtId="175" formatCode="[$€-410]\ #,##0.00;[RED]\-[$€-410]\ 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slantDashDot"/>
      <diagonal/>
    </border>
    <border diagonalUp="false" diagonalDown="false">
      <left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2" borderId="1" xfId="2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2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6.9" customHeight="true" zeroHeight="false" outlineLevelRow="0" outlineLevelCol="0"/>
  <cols>
    <col collapsed="false" customWidth="true" hidden="false" outlineLevel="0" max="1" min="1" style="1" width="73.82"/>
    <col collapsed="false" customWidth="true" hidden="false" outlineLevel="0" max="2" min="2" style="1" width="5.56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9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6.9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3</v>
      </c>
      <c r="F2" s="4" t="n">
        <f aca="false">IF(D2&gt;0, E2/D2, 0)</f>
        <v>5.3840631730079</v>
      </c>
      <c r="G2" s="1" t="s">
        <v>10</v>
      </c>
    </row>
    <row r="3" s="1" customFormat="true" ht="16.9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6.9" hidden="false" customHeight="true" outlineLevel="0" collapsed="false">
      <c r="A4" s="1" t="s">
        <v>13</v>
      </c>
      <c r="B4" s="1" t="n">
        <f aca="false">650</f>
        <v>650</v>
      </c>
      <c r="C4" s="1" t="s">
        <v>9</v>
      </c>
      <c r="D4" s="4" t="n">
        <f aca="false">(4+0.5)/2.46*B4/1000</f>
        <v>1.1890243902439</v>
      </c>
      <c r="E4" s="2" t="n">
        <v>6</v>
      </c>
      <c r="F4" s="4" t="n">
        <f aca="false">IF(D4&gt;0, E4/D4, 0)</f>
        <v>5.04615384615385</v>
      </c>
      <c r="G4" s="1" t="s">
        <v>14</v>
      </c>
    </row>
    <row r="5" s="1" customFormat="true" ht="16.9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6.9" hidden="false" customHeight="true" outlineLevel="0" collapsed="false">
      <c r="A6" s="1" t="s">
        <v>17</v>
      </c>
      <c r="B6" s="1" t="n">
        <v>500</v>
      </c>
      <c r="C6" s="1" t="s">
        <v>9</v>
      </c>
      <c r="D6" s="4" t="n">
        <f aca="false">1.29/0.7*B6/1000</f>
        <v>0.921428571428572</v>
      </c>
      <c r="E6" s="2" t="n">
        <v>3</v>
      </c>
      <c r="F6" s="4" t="n">
        <f aca="false">IF(D6&gt;0, E6/D6, 0)</f>
        <v>3.25581395348837</v>
      </c>
      <c r="G6" s="1" t="s">
        <v>14</v>
      </c>
    </row>
    <row r="7" s="1" customFormat="true" ht="16.9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6</v>
      </c>
      <c r="F7" s="4" t="n">
        <f aca="false">IF(D7&gt;0, E7/D7, 0)</f>
        <v>2.73972602739726</v>
      </c>
      <c r="G7" s="1" t="s">
        <v>14</v>
      </c>
    </row>
    <row r="8" s="1" customFormat="true" ht="16.9" hidden="false" customHeight="true" outlineLevel="0" collapsed="false">
      <c r="A8" s="1" t="s">
        <v>19</v>
      </c>
      <c r="B8" s="5" t="n">
        <f aca="false">(5*2+2)/7</f>
        <v>1.71428571428571</v>
      </c>
      <c r="C8" s="1" t="s">
        <v>20</v>
      </c>
      <c r="D8" s="4" t="n">
        <f aca="false">0.99*B8</f>
        <v>1.69714285714286</v>
      </c>
      <c r="E8" s="2" t="n">
        <v>2</v>
      </c>
      <c r="F8" s="4" t="n">
        <f aca="false">IF(D8&gt;0, E8/D8, 0)</f>
        <v>1.17845117845118</v>
      </c>
      <c r="G8" s="1" t="s">
        <v>14</v>
      </c>
      <c r="H8" s="1" t="s">
        <v>21</v>
      </c>
    </row>
    <row r="9" s="1" customFormat="true" ht="16.9" hidden="false" customHeight="true" outlineLevel="0" collapsed="false">
      <c r="A9" s="1" t="s">
        <v>22</v>
      </c>
      <c r="B9" s="1" t="n">
        <v>0</v>
      </c>
      <c r="C9" s="1" t="s">
        <v>9</v>
      </c>
      <c r="D9" s="4" t="n">
        <f aca="false">17.9*B9/1000</f>
        <v>0</v>
      </c>
      <c r="E9" s="2" t="n">
        <v>1</v>
      </c>
      <c r="F9" s="4" t="n">
        <f aca="false">IF(D9&gt;0, E9/D9, 0)</f>
        <v>0</v>
      </c>
      <c r="G9" s="1" t="s">
        <v>10</v>
      </c>
    </row>
    <row r="10" s="1" customFormat="true" ht="16.9" hidden="false" customHeight="true" outlineLevel="0" collapsed="false">
      <c r="A10" s="1" t="s">
        <v>23</v>
      </c>
      <c r="B10" s="1" t="n">
        <v>1</v>
      </c>
      <c r="C10" s="1" t="s">
        <v>20</v>
      </c>
      <c r="D10" s="4" t="n">
        <f aca="false">2/20*B10</f>
        <v>0.1</v>
      </c>
      <c r="E10" s="2" t="n">
        <v>0</v>
      </c>
      <c r="F10" s="4" t="n">
        <f aca="false">IF(D10&gt;0, E10/D10, 0)</f>
        <v>0</v>
      </c>
      <c r="G10" s="1" t="s">
        <v>24</v>
      </c>
    </row>
    <row r="11" s="1" customFormat="true" ht="16.9" hidden="false" customHeight="true" outlineLevel="0" collapsed="false">
      <c r="A11" s="1" t="s">
        <v>25</v>
      </c>
      <c r="B11" s="1" t="n">
        <v>4</v>
      </c>
      <c r="C11" s="1" t="s">
        <v>9</v>
      </c>
      <c r="D11" s="4" t="n">
        <f aca="false">20.99*B11/1000</f>
        <v>0.08396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12</v>
      </c>
    </row>
    <row r="12" s="1" customFormat="true" ht="16.9" hidden="false" customHeight="true" outlineLevel="0" collapsed="false">
      <c r="A12" s="1" t="s">
        <v>26</v>
      </c>
      <c r="B12" s="1" t="n">
        <v>20</v>
      </c>
      <c r="C12" s="1" t="s">
        <v>9</v>
      </c>
      <c r="D12" s="4" t="n">
        <f aca="false">31.44*B12/1000</f>
        <v>0.6288</v>
      </c>
      <c r="E12" s="2" t="n">
        <v>0</v>
      </c>
      <c r="F12" s="4" t="n">
        <f aca="false">IF(D12&gt;0, E12/D12, 0)</f>
        <v>0</v>
      </c>
      <c r="G12" s="1" t="s">
        <v>10</v>
      </c>
      <c r="H12" s="1" t="s">
        <v>27</v>
      </c>
    </row>
    <row r="13" s="1" customFormat="true" ht="16.9" hidden="false" customHeight="true" outlineLevel="0" collapsed="false">
      <c r="A13" s="1" t="s">
        <v>28</v>
      </c>
      <c r="B13" s="1" t="n">
        <v>60</v>
      </c>
      <c r="C13" s="1" t="s">
        <v>9</v>
      </c>
      <c r="D13" s="4" t="n">
        <f aca="false">34.95/3*B13/1000</f>
        <v>0.699</v>
      </c>
      <c r="E13" s="2" t="n">
        <v>0</v>
      </c>
      <c r="F13" s="4" t="n">
        <f aca="false">IF(D13&gt;0, E13/D13, 0)</f>
        <v>0</v>
      </c>
      <c r="G13" s="1" t="s">
        <v>10</v>
      </c>
      <c r="H13" s="1" t="s">
        <v>29</v>
      </c>
    </row>
    <row r="14" s="1" customFormat="true" ht="16.9" hidden="false" customHeight="true" outlineLevel="0" collapsed="false">
      <c r="A14" s="1" t="s">
        <v>30</v>
      </c>
      <c r="B14" s="1" t="n">
        <v>0</v>
      </c>
      <c r="C14" s="1" t="s">
        <v>9</v>
      </c>
      <c r="D14" s="6" t="n">
        <f aca="false">11*B14/1000</f>
        <v>0</v>
      </c>
      <c r="E14" s="7" t="n">
        <v>0</v>
      </c>
      <c r="F14" s="6" t="n">
        <f aca="false">IF(D14&gt;0, E14/D14, 0)</f>
        <v>0</v>
      </c>
      <c r="G14" s="1" t="s">
        <v>10</v>
      </c>
      <c r="H14" s="1" t="s">
        <v>31</v>
      </c>
    </row>
    <row r="15" s="1" customFormat="true" ht="16.9" hidden="false" customHeight="true" outlineLevel="0" collapsed="false">
      <c r="B15" s="8"/>
      <c r="C15" s="8"/>
      <c r="D15" s="9" t="n">
        <f aca="false">SUM(D2:D14)</f>
        <v>8.65473581881533</v>
      </c>
      <c r="E15" s="10" t="n">
        <f aca="false">SUM(E2:E14)</f>
        <v>24</v>
      </c>
      <c r="F15" s="9" t="n">
        <f aca="false">IF(D15&gt;0, E15/D15, 0)</f>
        <v>2.7730482480845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56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5.66"/>
    <col collapsed="false" customWidth="true" hidden="false" outlineLevel="0" max="6" min="6" style="1" width="7.2"/>
    <col collapsed="false" customWidth="true" hidden="false" outlineLevel="0" max="7" min="7" style="1" width="14.38"/>
    <col collapsed="false" customWidth="true" hidden="false" outlineLevel="0" max="8" min="8" style="1" width="24.59"/>
  </cols>
  <sheetData>
    <row r="1" s="1" customFormat="tru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5" hidden="false" customHeight="true" outlineLevel="0" collapsed="false">
      <c r="A4" s="1" t="s">
        <v>13</v>
      </c>
      <c r="B4" s="1" t="n">
        <v>700</v>
      </c>
      <c r="C4" s="1" t="s">
        <v>9</v>
      </c>
      <c r="D4" s="4" t="n">
        <f aca="false">(4+0.5)/2.46*B4/1000</f>
        <v>1.28048780487805</v>
      </c>
      <c r="E4" s="2" t="n">
        <v>6</v>
      </c>
      <c r="F4" s="4" t="n">
        <f aca="false">IF(D4&gt;0, E4/D4, 0)</f>
        <v>4.68571428571429</v>
      </c>
      <c r="G4" s="1" t="s">
        <v>14</v>
      </c>
    </row>
    <row r="5" s="1" customFormat="true" ht="15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8</v>
      </c>
      <c r="F6" s="4" t="n">
        <f aca="false">IF(D6&gt;0, E6/D6, 0)</f>
        <v>3.65296803652968</v>
      </c>
      <c r="G6" s="1" t="s">
        <v>14</v>
      </c>
    </row>
    <row r="7" s="1" customFormat="true" ht="15" hidden="false" customHeight="true" outlineLevel="0" collapsed="false">
      <c r="A7" s="1" t="s">
        <v>17</v>
      </c>
      <c r="B7" s="1" t="n">
        <v>750</v>
      </c>
      <c r="C7" s="1" t="s">
        <v>9</v>
      </c>
      <c r="D7" s="4" t="n">
        <f aca="false">1.29/0.7*B7/1000</f>
        <v>1.38214285714286</v>
      </c>
      <c r="E7" s="2" t="n">
        <v>3</v>
      </c>
      <c r="F7" s="4" t="n">
        <f aca="false">IF(D7&gt;0, E7/D7, 0)</f>
        <v>2.17054263565891</v>
      </c>
      <c r="G7" s="1" t="s">
        <v>14</v>
      </c>
    </row>
    <row r="8" s="1" customFormat="true" ht="15" hidden="false" customHeight="true" outlineLevel="0" collapsed="false">
      <c r="A8" s="1" t="s">
        <v>22</v>
      </c>
      <c r="B8" s="1" t="n">
        <v>0</v>
      </c>
      <c r="C8" s="1" t="s">
        <v>9</v>
      </c>
      <c r="D8" s="4" t="n">
        <f aca="false">17.9*B8/1000</f>
        <v>0</v>
      </c>
      <c r="E8" s="2" t="n">
        <v>1</v>
      </c>
      <c r="F8" s="4" t="n">
        <f aca="false">IF(D8&gt;0, E8/D8, 0)</f>
        <v>0</v>
      </c>
      <c r="G8" s="1" t="s">
        <v>10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25</v>
      </c>
      <c r="B10" s="1" t="n">
        <v>4</v>
      </c>
      <c r="C10" s="1" t="s">
        <v>9</v>
      </c>
      <c r="D10" s="4" t="n">
        <f aca="false">20.99*B10/1000</f>
        <v>0.08396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19</v>
      </c>
      <c r="B11" s="5" t="n">
        <f aca="false">(5*2+2)/7</f>
        <v>1.71428571428571</v>
      </c>
      <c r="C11" s="1" t="s">
        <v>20</v>
      </c>
      <c r="D11" s="4" t="n">
        <f aca="false">0.99*B11</f>
        <v>1.69714285714286</v>
      </c>
      <c r="E11" s="2" t="n">
        <v>2</v>
      </c>
      <c r="F11" s="4" t="n">
        <f aca="false">IF(D11&gt;0, E11/D11, 0)</f>
        <v>1.17845117845118</v>
      </c>
      <c r="G11" s="1" t="s">
        <v>14</v>
      </c>
      <c r="H11" s="1" t="s">
        <v>21</v>
      </c>
    </row>
    <row r="12" s="1" customFormat="true" ht="15" hidden="false" customHeight="true" outlineLevel="0" collapsed="false">
      <c r="A12" s="1" t="s">
        <v>30</v>
      </c>
      <c r="B12" s="1" t="n">
        <v>4</v>
      </c>
      <c r="C12" s="1" t="s">
        <v>9</v>
      </c>
      <c r="D12" s="4" t="n">
        <f aca="false">11*B12/1000</f>
        <v>0.044</v>
      </c>
      <c r="E12" s="2" t="n">
        <v>1</v>
      </c>
      <c r="F12" s="4" t="n">
        <f aca="false">IF(D12&gt;0, E12/D12, 0)</f>
        <v>22.7272727272727</v>
      </c>
      <c r="G12" s="1" t="s">
        <v>10</v>
      </c>
      <c r="H12" s="1" t="s">
        <v>31</v>
      </c>
    </row>
    <row r="13" s="1" customFormat="true" ht="15" hidden="false" customHeight="true" outlineLevel="0" collapsed="false">
      <c r="B13" s="8"/>
      <c r="C13" s="8"/>
      <c r="D13" s="11" t="n">
        <f aca="false">SUM(D2:D12)</f>
        <v>7.92311351916376</v>
      </c>
      <c r="E13" s="12" t="n">
        <f aca="false">SUM(E2:E12)</f>
        <v>28</v>
      </c>
      <c r="F13" s="11" t="n">
        <f aca="false">IF(D13&gt;0, E13/D13, 0)</f>
        <v>3.53396425941342</v>
      </c>
    </row>
    <row r="1048573" customFormat="false" ht="12.75" hidden="false" customHeight="true" outlineLevel="0" collapsed="false"/>
    <row r="104857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3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7.2"/>
    <col collapsed="false" customWidth="true" hidden="false" outlineLevel="0" max="6" min="6" style="1" width="7.2"/>
    <col collapsed="false" customWidth="true" hidden="false" outlineLevel="0" max="7" min="7" style="1" width="11.54"/>
    <col collapsed="false" customWidth="true" hidden="false" outlineLevel="0" max="8" min="8" style="1" width="24.59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4</v>
      </c>
      <c r="C3" s="1" t="s">
        <v>9</v>
      </c>
      <c r="D3" s="4" t="n">
        <f aca="false">17.9*B3/1000</f>
        <v>0.0716</v>
      </c>
      <c r="E3" s="2" t="n">
        <v>1</v>
      </c>
      <c r="F3" s="4" t="n">
        <f aca="false">IF(D3&gt;0, E3/D3, 0)</f>
        <v>13.9664804469274</v>
      </c>
      <c r="G3" s="1" t="s">
        <v>10</v>
      </c>
    </row>
    <row r="4" s="1" customFormat="true" ht="15" hidden="false" customHeight="true" outlineLevel="0" collapsed="false">
      <c r="A4" s="1" t="s">
        <v>25</v>
      </c>
      <c r="B4" s="1" t="n">
        <v>4</v>
      </c>
      <c r="C4" s="1" t="s">
        <v>9</v>
      </c>
      <c r="D4" s="4" t="n">
        <f aca="false">20.99*B4/1000</f>
        <v>0.08396</v>
      </c>
      <c r="E4" s="2" t="n">
        <v>1</v>
      </c>
      <c r="F4" s="4" t="n">
        <f aca="false">IF(D4&gt;0, E4/D4, 0)</f>
        <v>11.9104335397808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600</v>
      </c>
      <c r="C5" s="1" t="s">
        <v>9</v>
      </c>
      <c r="D5" s="4" t="n">
        <f aca="false">(4+0.5)/2.46*B5/1000</f>
        <v>1.09756097560976</v>
      </c>
      <c r="E5" s="2" t="n">
        <v>8</v>
      </c>
      <c r="F5" s="4" t="n">
        <f aca="false">IF(D5&gt;0, E5/D5, 0)</f>
        <v>7.28888888888889</v>
      </c>
      <c r="G5" s="1" t="s">
        <v>14</v>
      </c>
    </row>
    <row r="6" s="1" customFormat="true" ht="15" hidden="false" customHeight="true" outlineLevel="0" collapsed="false">
      <c r="A6" s="1" t="s">
        <v>15</v>
      </c>
      <c r="B6" s="1" t="n">
        <v>250</v>
      </c>
      <c r="C6" s="1" t="s">
        <v>9</v>
      </c>
      <c r="D6" s="4" t="n">
        <f aca="false">1.89*B6/1000</f>
        <v>0.4725</v>
      </c>
      <c r="E6" s="2" t="n">
        <v>2</v>
      </c>
      <c r="F6" s="4" t="n">
        <f aca="false">IF(D6&gt;0, E6/D6, 0)</f>
        <v>4.23280423280423</v>
      </c>
      <c r="G6" s="1" t="s">
        <v>10</v>
      </c>
      <c r="H6" s="1" t="s">
        <v>16</v>
      </c>
    </row>
    <row r="7" s="1" customFormat="true" ht="15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8</v>
      </c>
      <c r="F7" s="4" t="n">
        <f aca="false">IF(D7&gt;0, E7/D7, 0)</f>
        <v>3.65296803652968</v>
      </c>
      <c r="G7" s="1" t="s">
        <v>14</v>
      </c>
    </row>
    <row r="8" s="1" customFormat="true" ht="15" hidden="false" customHeight="true" outlineLevel="0" collapsed="false">
      <c r="A8" s="1" t="s">
        <v>17</v>
      </c>
      <c r="B8" s="1" t="n">
        <v>1000</v>
      </c>
      <c r="C8" s="1" t="s">
        <v>9</v>
      </c>
      <c r="D8" s="4" t="n">
        <f aca="false">1.29/0.7*B8/1000</f>
        <v>1.84285714285714</v>
      </c>
      <c r="E8" s="2" t="n">
        <v>3</v>
      </c>
      <c r="F8" s="4" t="n">
        <f aca="false">IF(D8&gt;0, E8/D8, 0)</f>
        <v>1.62790697674419</v>
      </c>
      <c r="G8" s="1" t="s">
        <v>14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11</v>
      </c>
      <c r="B10" s="1" t="n">
        <v>16</v>
      </c>
      <c r="C10" s="1" t="s">
        <v>9</v>
      </c>
      <c r="D10" s="4" t="n">
        <f aca="false">7.23*B10/1000</f>
        <v>0.11568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30</v>
      </c>
      <c r="B11" s="1" t="n">
        <v>4</v>
      </c>
      <c r="C11" s="1" t="s">
        <v>9</v>
      </c>
      <c r="D11" s="4" t="n">
        <f aca="false">11*B11/1000</f>
        <v>0.044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31</v>
      </c>
    </row>
    <row r="12" s="1" customFormat="true" ht="15" hidden="false" customHeight="true" outlineLevel="0" collapsed="false">
      <c r="D12" s="11" t="n">
        <f aca="false">SUM(D2:D11)</f>
        <v>6.5753581184669</v>
      </c>
      <c r="E12" s="12" t="n">
        <f aca="false">SUM(E2:E11)</f>
        <v>27</v>
      </c>
      <c r="F12" s="11" t="n">
        <f aca="false">IF(D12&gt;0, E12/D12, 0)</f>
        <v>4.10624022502599</v>
      </c>
    </row>
    <row r="15" s="1" customFormat="true" ht="15" hidden="false" customHeight="true" outlineLevel="0" collapsed="false">
      <c r="B15" s="8"/>
      <c r="C15" s="8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63.05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6.77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4</v>
      </c>
      <c r="C3" s="1" t="s">
        <v>9</v>
      </c>
      <c r="D3" s="4" t="n">
        <f aca="false">17.9*B3/1000</f>
        <v>0.0716</v>
      </c>
      <c r="E3" s="2" t="n">
        <v>1</v>
      </c>
      <c r="F3" s="4" t="n">
        <f aca="false">IF(D3&gt;0, E3/D3, 0)</f>
        <v>13.9664804469274</v>
      </c>
      <c r="G3" s="1" t="s">
        <v>10</v>
      </c>
    </row>
    <row r="4" s="1" customFormat="true" ht="15" hidden="false" customHeight="true" outlineLevel="0" collapsed="false">
      <c r="A4" s="1" t="s">
        <v>11</v>
      </c>
      <c r="B4" s="1" t="n">
        <v>16</v>
      </c>
      <c r="C4" s="1" t="s">
        <v>9</v>
      </c>
      <c r="D4" s="4" t="n">
        <f aca="false">7.23*B4/1000</f>
        <v>0.11568</v>
      </c>
      <c r="E4" s="2" t="n">
        <v>1</v>
      </c>
      <c r="F4" s="4" t="n">
        <f aca="false">IF(D4&gt;0, E4/D4, 0)</f>
        <v>8.64453665283541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800</v>
      </c>
      <c r="C5" s="1" t="s">
        <v>9</v>
      </c>
      <c r="D5" s="4" t="n">
        <f aca="false">(4+0.5)/2.46*B5/1000</f>
        <v>1.46341463414634</v>
      </c>
      <c r="E5" s="2" t="n">
        <v>9</v>
      </c>
      <c r="F5" s="4" t="n">
        <f aca="false">IF(D5&gt;0, E5/D5, 0)</f>
        <v>6.15</v>
      </c>
      <c r="G5" s="1" t="s">
        <v>14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10</v>
      </c>
      <c r="F6" s="4" t="n">
        <f aca="false">IF(D6&gt;0, E6/D6, 0)</f>
        <v>4.5662100456621</v>
      </c>
      <c r="G6" s="1" t="s">
        <v>14</v>
      </c>
    </row>
    <row r="7" s="1" customFormat="true" ht="15" hidden="false" customHeight="true" outlineLevel="0" collapsed="false">
      <c r="A7" s="1" t="s">
        <v>17</v>
      </c>
      <c r="B7" s="1" t="n">
        <v>1000</v>
      </c>
      <c r="C7" s="1" t="s">
        <v>9</v>
      </c>
      <c r="D7" s="4" t="n">
        <f aca="false">1.29/0.7*B7/1000</f>
        <v>1.84285714285714</v>
      </c>
      <c r="E7" s="2" t="n">
        <v>4</v>
      </c>
      <c r="F7" s="4" t="n">
        <f aca="false">IF(D7&gt;0, E7/D7, 0)</f>
        <v>2.17054263565891</v>
      </c>
      <c r="G7" s="1" t="s">
        <v>14</v>
      </c>
    </row>
    <row r="8" s="1" customFormat="true" ht="15" hidden="false" customHeight="true" outlineLevel="0" collapsed="false">
      <c r="A8" s="1" t="s">
        <v>23</v>
      </c>
      <c r="B8" s="1" t="n">
        <v>1</v>
      </c>
      <c r="C8" s="1" t="s">
        <v>20</v>
      </c>
      <c r="D8" s="4" t="n">
        <f aca="false">2/20*B8</f>
        <v>0.1</v>
      </c>
      <c r="E8" s="2" t="n">
        <v>0</v>
      </c>
      <c r="F8" s="4" t="n">
        <f aca="false">IF(D8&gt;0, E8/D8, 0)</f>
        <v>0</v>
      </c>
      <c r="G8" s="1" t="s">
        <v>24</v>
      </c>
    </row>
    <row r="9" s="1" customFormat="true" ht="15" hidden="false" customHeight="true" outlineLevel="0" collapsed="false">
      <c r="A9" s="1" t="s">
        <v>25</v>
      </c>
      <c r="B9" s="1" t="n">
        <v>4</v>
      </c>
      <c r="C9" s="1" t="s">
        <v>9</v>
      </c>
      <c r="D9" s="4" t="n">
        <f aca="false">20.99*B9/1000</f>
        <v>0.08396</v>
      </c>
      <c r="E9" s="2" t="n">
        <v>0</v>
      </c>
      <c r="F9" s="4" t="n">
        <f aca="false">IF(D9&gt;0, E9/D9, 0)</f>
        <v>0</v>
      </c>
      <c r="G9" s="1" t="s">
        <v>10</v>
      </c>
      <c r="H9" s="1" t="s">
        <v>12</v>
      </c>
    </row>
    <row r="10" s="1" customFormat="true" ht="15" hidden="false" customHeight="true" outlineLevel="0" collapsed="false">
      <c r="A10" s="1" t="s">
        <v>30</v>
      </c>
      <c r="B10" s="1" t="n">
        <v>4</v>
      </c>
      <c r="C10" s="1" t="s">
        <v>9</v>
      </c>
      <c r="D10" s="4" t="n">
        <f aca="false">11*B10/1000</f>
        <v>0.044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31</v>
      </c>
    </row>
    <row r="11" s="1" customFormat="true" ht="15" hidden="false" customHeight="true" outlineLevel="0" collapsed="false">
      <c r="B11" s="8"/>
      <c r="C11" s="8"/>
      <c r="D11" s="11" t="n">
        <f aca="false">SUM(D2:D10)</f>
        <v>6.46871177700348</v>
      </c>
      <c r="E11" s="12" t="n">
        <f aca="false">SUM(E2:E10)</f>
        <v>29</v>
      </c>
      <c r="F11" s="11" t="n">
        <f aca="false">IF(D11&gt;0, E11/D11, 0)</f>
        <v>4.48311827759835</v>
      </c>
    </row>
    <row r="12" s="1" customFormat="true" ht="15" hidden="false" customHeight="true" outlineLevel="0" collapsed="false">
      <c r="F12" s="13"/>
    </row>
    <row r="1048572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55.27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</cols>
  <sheetData>
    <row r="1" s="1" customFormat="tru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5</v>
      </c>
      <c r="F2" s="4" t="n">
        <f aca="false">IF(D2&gt;0, E2/D2, 0)</f>
        <v>8.97343862167983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2</v>
      </c>
      <c r="F3" s="4" t="n">
        <f aca="false">IF(D3&gt;0, E3/D3, 0)</f>
        <v>6.98324022346369</v>
      </c>
      <c r="G3" s="1" t="s">
        <v>10</v>
      </c>
    </row>
    <row r="4" s="1" customFormat="true" ht="15" hidden="false" customHeight="true" outlineLevel="0" collapsed="false">
      <c r="A4" s="1" t="s">
        <v>13</v>
      </c>
      <c r="B4" s="1" t="n">
        <v>800</v>
      </c>
      <c r="C4" s="1" t="s">
        <v>9</v>
      </c>
      <c r="D4" s="4" t="n">
        <f aca="false">(4+0.5)/2.46*B4/1000</f>
        <v>1.46341463414634</v>
      </c>
      <c r="E4" s="2" t="n">
        <v>10</v>
      </c>
      <c r="F4" s="4" t="n">
        <f aca="false">IF(D4&gt;0, E4/D4, 0)</f>
        <v>6.83333333333333</v>
      </c>
      <c r="G4" s="1" t="s">
        <v>14</v>
      </c>
    </row>
    <row r="5" s="1" customFormat="true" ht="15" hidden="false" customHeight="true" outlineLevel="0" collapsed="false">
      <c r="A5" s="1" t="s">
        <v>18</v>
      </c>
      <c r="B5" s="1" t="n">
        <v>500</v>
      </c>
      <c r="C5" s="1" t="s">
        <v>9</v>
      </c>
      <c r="D5" s="4" t="n">
        <f aca="false">2.19/0.5*B5/1000</f>
        <v>2.19</v>
      </c>
      <c r="E5" s="2" t="n">
        <v>9</v>
      </c>
      <c r="F5" s="4" t="n">
        <f aca="false">IF(D5&gt;0, E5/D5, 0)</f>
        <v>4.10958904109589</v>
      </c>
      <c r="G5" s="1" t="s">
        <v>14</v>
      </c>
    </row>
    <row r="6" s="1" customFormat="true" ht="15" hidden="false" customHeight="true" outlineLevel="0" collapsed="false">
      <c r="A6" s="1" t="s">
        <v>17</v>
      </c>
      <c r="B6" s="1" t="n">
        <v>1000</v>
      </c>
      <c r="C6" s="1" t="s">
        <v>9</v>
      </c>
      <c r="D6" s="4" t="n">
        <f aca="false">1.29/0.7*B6/1000</f>
        <v>1.84285714285714</v>
      </c>
      <c r="E6" s="2" t="n">
        <v>5</v>
      </c>
      <c r="F6" s="4" t="n">
        <f aca="false">IF(D6&gt;0, E6/D6, 0)</f>
        <v>2.71317829457364</v>
      </c>
      <c r="G6" s="1" t="s">
        <v>14</v>
      </c>
    </row>
    <row r="7" s="1" customFormat="true" ht="15" hidden="false" customHeight="true" outlineLevel="0" collapsed="false">
      <c r="A7" s="1" t="s">
        <v>23</v>
      </c>
      <c r="B7" s="1" t="n">
        <v>1</v>
      </c>
      <c r="C7" s="1" t="s">
        <v>20</v>
      </c>
      <c r="D7" s="4" t="n">
        <f aca="false">2/20*B7</f>
        <v>0.1</v>
      </c>
      <c r="E7" s="2" t="n">
        <v>0</v>
      </c>
      <c r="F7" s="4" t="n">
        <f aca="false">IF(D7&gt;0, E7/D7, 0)</f>
        <v>0</v>
      </c>
      <c r="G7" s="1" t="s">
        <v>24</v>
      </c>
    </row>
    <row r="8" s="1" customFormat="true" ht="15" hidden="false" customHeight="true" outlineLevel="0" collapsed="false">
      <c r="B8" s="8"/>
      <c r="C8" s="8"/>
      <c r="D8" s="11" t="n">
        <f aca="false">SUM(D2:D7)</f>
        <v>6.43987177700348</v>
      </c>
      <c r="E8" s="12" t="n">
        <f aca="false">SUM(E2:E7)</f>
        <v>31</v>
      </c>
      <c r="F8" s="11" t="n">
        <f aca="false">IF(D8&gt;0, E8/D8, 0)</f>
        <v>4.8137604401845</v>
      </c>
    </row>
    <row r="9" s="1" customFormat="true" ht="15" hidden="false" customHeight="true" outlineLevel="0" collapsed="false">
      <c r="F9" s="13"/>
    </row>
    <row r="10" s="1" customFormat="true" ht="15" hidden="false" customHeight="true" outlineLevel="0" collapsed="false">
      <c r="F10" s="13"/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D3" activeCellId="0" sqref="D3"/>
    </sheetView>
  </sheetViews>
  <sheetFormatPr defaultColWidth="11.54296875" defaultRowHeight="13.8" customHeight="true" zeroHeight="false" outlineLevelRow="0" outlineLevelCol="0"/>
  <cols>
    <col collapsed="false" customWidth="true" hidden="false" outlineLevel="0" max="1" min="1" style="1" width="6.81"/>
    <col collapsed="false" customWidth="true" hidden="false" outlineLevel="0" max="2" min="2" style="1" width="12.49"/>
    <col collapsed="false" customWidth="true" hidden="false" outlineLevel="0" max="3" min="3" style="1" width="25.73"/>
    <col collapsed="false" customWidth="true" hidden="false" outlineLevel="0" max="4" min="4" style="1" width="5.49"/>
    <col collapsed="false" customWidth="true" hidden="false" outlineLevel="0" max="5" min="5" style="1" width="6.24"/>
    <col collapsed="false" customWidth="true" hidden="false" outlineLevel="0" max="6" min="6" style="14" width="19.29"/>
    <col collapsed="false" customWidth="true" hidden="false" outlineLevel="0" max="7" min="7" style="14" width="12.49"/>
    <col collapsed="false" customWidth="true" hidden="false" outlineLevel="0" max="8" min="8" style="15" width="7.38"/>
    <col collapsed="false" customWidth="true" hidden="false" outlineLevel="0" max="10" min="10" style="16" width="14.76"/>
  </cols>
  <sheetData>
    <row r="1" s="18" customFormat="true" ht="13.8" hidden="false" customHeight="true" outlineLevel="0" collapsed="false">
      <c r="A1" s="17" t="s">
        <v>32</v>
      </c>
      <c r="B1" s="17" t="s">
        <v>33</v>
      </c>
      <c r="C1" s="17" t="s">
        <v>34</v>
      </c>
      <c r="D1" s="17" t="s">
        <v>1</v>
      </c>
      <c r="E1" s="17" t="s">
        <v>2</v>
      </c>
      <c r="F1" s="17" t="s">
        <v>35</v>
      </c>
      <c r="G1" s="17" t="s">
        <v>36</v>
      </c>
      <c r="H1" s="17" t="s">
        <v>37</v>
      </c>
      <c r="J1" s="16"/>
    </row>
    <row r="2" s="1" customFormat="true" ht="13.8" hidden="false" customHeight="true" outlineLevel="0" collapsed="false">
      <c r="A2" s="1" t="s">
        <v>38</v>
      </c>
      <c r="B2" s="19" t="n">
        <v>45989</v>
      </c>
      <c r="C2" s="1" t="s">
        <v>39</v>
      </c>
      <c r="D2" s="1" t="n">
        <f aca="false">1.15+0.275+0.025</f>
        <v>1.45</v>
      </c>
      <c r="E2" s="1" t="s">
        <v>40</v>
      </c>
      <c r="F2" s="14" t="n">
        <v>45994</v>
      </c>
      <c r="G2" s="14" t="n">
        <f aca="false">F2+D2/(0.06+0.02)</f>
        <v>46012.125</v>
      </c>
      <c r="H2" s="15" t="n">
        <f aca="false">Fase1!D$15</f>
        <v>8.65473581881533</v>
      </c>
      <c r="J2" s="16"/>
    </row>
    <row r="3" s="1" customFormat="true" ht="13.8" hidden="false" customHeight="true" outlineLevel="0" collapsed="false">
      <c r="A3" s="1" t="s">
        <v>41</v>
      </c>
      <c r="B3" s="19" t="n">
        <f aca="false">G2+1</f>
        <v>46013.125</v>
      </c>
      <c r="C3" s="1" t="s">
        <v>42</v>
      </c>
      <c r="D3" s="1" t="n">
        <f aca="false">29+11</f>
        <v>40</v>
      </c>
      <c r="E3" s="1" t="s">
        <v>20</v>
      </c>
      <c r="F3" s="14" t="n">
        <v>45994</v>
      </c>
      <c r="G3" s="14" t="n">
        <f aca="false">F3+D3/(12/7)</f>
        <v>46017.3333333333</v>
      </c>
      <c r="H3" s="15" t="n">
        <f aca="false">Fase2!D$13</f>
        <v>7.92311351916376</v>
      </c>
      <c r="J3" s="16"/>
    </row>
    <row r="4" s="1" customFormat="true" ht="13.8" hidden="false" customHeight="true" outlineLevel="0" collapsed="false">
      <c r="A4" s="1" t="s">
        <v>43</v>
      </c>
      <c r="B4" s="19" t="n">
        <f aca="false">G3+1</f>
        <v>46018.3333333333</v>
      </c>
      <c r="C4" s="1" t="s">
        <v>44</v>
      </c>
      <c r="D4" s="1" t="n">
        <v>6</v>
      </c>
      <c r="E4" s="1" t="s">
        <v>45</v>
      </c>
      <c r="F4" s="14" t="n">
        <v>45995</v>
      </c>
      <c r="G4" s="14" t="n">
        <f aca="false">F4+D4/0.25</f>
        <v>46019</v>
      </c>
      <c r="H4" s="15" t="n">
        <f aca="false">Fase3!D12</f>
        <v>6.5753581184669</v>
      </c>
      <c r="J4" s="16"/>
    </row>
    <row r="5" s="1" customFormat="true" ht="13.8" hidden="false" customHeight="true" outlineLevel="0" collapsed="false">
      <c r="A5" s="1" t="s">
        <v>46</v>
      </c>
      <c r="B5" s="19" t="n">
        <f aca="false">G4+1</f>
        <v>46020</v>
      </c>
      <c r="C5" s="1" t="s">
        <v>47</v>
      </c>
      <c r="D5" s="1" t="n">
        <v>0.6</v>
      </c>
      <c r="E5" s="1" t="s">
        <v>40</v>
      </c>
      <c r="F5" s="14" t="n">
        <v>45995</v>
      </c>
      <c r="G5" s="14" t="n">
        <f aca="false">F5+D5/0.02</f>
        <v>46025</v>
      </c>
      <c r="H5" s="15" t="n">
        <f aca="false">Fase4!D11</f>
        <v>6.46871177700348</v>
      </c>
      <c r="J5" s="16"/>
    </row>
    <row r="6" s="1" customFormat="true" ht="13.8" hidden="false" customHeight="true" outlineLevel="0" collapsed="false">
      <c r="A6" s="1" t="s">
        <v>48</v>
      </c>
      <c r="B6" s="19" t="n">
        <f aca="false">G5+1</f>
        <v>46026</v>
      </c>
      <c r="C6" s="1" t="s">
        <v>49</v>
      </c>
      <c r="F6" s="14"/>
      <c r="G6" s="14" t="n">
        <v>47483</v>
      </c>
      <c r="H6" s="15" t="n">
        <f aca="false">Fase5!D8</f>
        <v>6.43987177700348</v>
      </c>
      <c r="J6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2025-12-21T15:09:50Z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
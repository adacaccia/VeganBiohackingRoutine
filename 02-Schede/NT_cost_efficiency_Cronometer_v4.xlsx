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caccia/VeganBiohackingRoutine/02-Schede/"/>
    </mc:Choice>
  </mc:AlternateContent>
  <xr:revisionPtr revIDLastSave="0" documentId="13_ncr:1_{288238CB-2F80-7D4C-8B16-E622C019CE0C}" xr6:coauthVersionLast="47" xr6:coauthVersionMax="47" xr10:uidLastSave="{00000000-0000-0000-0000-000000000000}"/>
  <bookViews>
    <workbookView xWindow="0" yWindow="660" windowWidth="34560" windowHeight="21680" tabRatio="500" activeTab="3" xr2:uid="{00000000-000D-0000-FFFF-FFFF00000000}"/>
  </bookViews>
  <sheets>
    <sheet name="Fase1" sheetId="1" r:id="rId1"/>
    <sheet name="Fase2" sheetId="2" r:id="rId2"/>
    <sheet name="Fase3" sheetId="3" r:id="rId3"/>
    <sheet name="Fase4" sheetId="4" r:id="rId4"/>
    <sheet name="Fase5" sheetId="5" r:id="rId5"/>
    <sheet name="Timelin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8" i="5" l="1"/>
  <c r="D6" i="4"/>
  <c r="F6" i="4" s="1"/>
  <c r="B6" i="6"/>
  <c r="G5" i="6"/>
  <c r="G4" i="6"/>
  <c r="B5" i="6" s="1"/>
  <c r="G3" i="6"/>
  <c r="B4" i="6" s="1"/>
  <c r="D3" i="6"/>
  <c r="D2" i="6"/>
  <c r="G2" i="6" s="1"/>
  <c r="B3" i="6" s="1"/>
  <c r="E8" i="5"/>
  <c r="D8" i="5"/>
  <c r="H6" i="6" s="1"/>
  <c r="D7" i="5"/>
  <c r="F7" i="5" s="1"/>
  <c r="D6" i="5"/>
  <c r="F6" i="5" s="1"/>
  <c r="D5" i="5"/>
  <c r="F5" i="5" s="1"/>
  <c r="D4" i="5"/>
  <c r="F4" i="5" s="1"/>
  <c r="D3" i="5"/>
  <c r="F3" i="5" s="1"/>
  <c r="D2" i="5"/>
  <c r="F2" i="5" s="1"/>
  <c r="E10" i="4"/>
  <c r="D9" i="4"/>
  <c r="F9" i="4" s="1"/>
  <c r="D7" i="4"/>
  <c r="F7" i="4" s="1"/>
  <c r="D5" i="4"/>
  <c r="F5" i="4" s="1"/>
  <c r="D4" i="4"/>
  <c r="F4" i="4" s="1"/>
  <c r="D8" i="4"/>
  <c r="F8" i="4" s="1"/>
  <c r="D3" i="4"/>
  <c r="F3" i="4" s="1"/>
  <c r="D2" i="4"/>
  <c r="F2" i="4" s="1"/>
  <c r="E12" i="3"/>
  <c r="D12" i="3"/>
  <c r="H4" i="6" s="1"/>
  <c r="F11" i="3"/>
  <c r="D11" i="3"/>
  <c r="D10" i="3"/>
  <c r="F10" i="3" s="1"/>
  <c r="D9" i="3"/>
  <c r="F9" i="3" s="1"/>
  <c r="F8" i="3"/>
  <c r="D8" i="3"/>
  <c r="D7" i="3"/>
  <c r="F7" i="3" s="1"/>
  <c r="F6" i="3"/>
  <c r="D6" i="3"/>
  <c r="D5" i="3"/>
  <c r="F5" i="3" s="1"/>
  <c r="D4" i="3"/>
  <c r="F4" i="3" s="1"/>
  <c r="F3" i="3"/>
  <c r="D3" i="3"/>
  <c r="D2" i="3"/>
  <c r="F2" i="3" s="1"/>
  <c r="E13" i="2"/>
  <c r="D12" i="2"/>
  <c r="F12" i="2" s="1"/>
  <c r="F11" i="2"/>
  <c r="D11" i="2"/>
  <c r="B11" i="2"/>
  <c r="D10" i="2"/>
  <c r="F10" i="2" s="1"/>
  <c r="D9" i="2"/>
  <c r="F9" i="2" s="1"/>
  <c r="F8" i="2"/>
  <c r="D8" i="2"/>
  <c r="D7" i="2"/>
  <c r="F7" i="2" s="1"/>
  <c r="F6" i="2"/>
  <c r="D6" i="2"/>
  <c r="D5" i="2"/>
  <c r="F5" i="2" s="1"/>
  <c r="D4" i="2"/>
  <c r="D13" i="2" s="1"/>
  <c r="F3" i="2"/>
  <c r="D3" i="2"/>
  <c r="D2" i="2"/>
  <c r="F2" i="2" s="1"/>
  <c r="E15" i="1"/>
  <c r="D15" i="1"/>
  <c r="H2" i="6" s="1"/>
  <c r="D14" i="1"/>
  <c r="F14" i="1" s="1"/>
  <c r="F13" i="1"/>
  <c r="D13" i="1"/>
  <c r="D12" i="1"/>
  <c r="F12" i="1" s="1"/>
  <c r="F11" i="1"/>
  <c r="D11" i="1"/>
  <c r="D10" i="1"/>
  <c r="F10" i="1" s="1"/>
  <c r="D9" i="1"/>
  <c r="F9" i="1" s="1"/>
  <c r="F8" i="1"/>
  <c r="D8" i="1"/>
  <c r="B8" i="1"/>
  <c r="D7" i="1"/>
  <c r="F7" i="1" s="1"/>
  <c r="D6" i="1"/>
  <c r="F6" i="1" s="1"/>
  <c r="D5" i="1"/>
  <c r="F5" i="1" s="1"/>
  <c r="D4" i="1"/>
  <c r="F4" i="1" s="1"/>
  <c r="B4" i="1"/>
  <c r="D3" i="1"/>
  <c r="F3" i="1" s="1"/>
  <c r="F2" i="1"/>
  <c r="D2" i="1"/>
  <c r="D10" i="4" l="1"/>
  <c r="F10" i="4" s="1"/>
  <c r="F13" i="2"/>
  <c r="H3" i="6"/>
  <c r="F12" i="3"/>
  <c r="F15" i="1"/>
  <c r="F4" i="2"/>
  <c r="H5" i="6"/>
</calcChain>
</file>

<file path=xl/sharedStrings.xml><?xml version="1.0" encoding="utf-8"?>
<sst xmlns="http://schemas.openxmlformats.org/spreadsheetml/2006/main" count="224" uniqueCount="51">
  <si>
    <t>Food</t>
  </si>
  <si>
    <t>Q</t>
  </si>
  <si>
    <t>Unit</t>
  </si>
  <si>
    <t>€</t>
  </si>
  <si>
    <t>%NT</t>
  </si>
  <si>
    <t>NT/€</t>
  </si>
  <si>
    <t>Meal</t>
  </si>
  <si>
    <t>Notes</t>
  </si>
  <si>
    <t>Rolled Oats, dry</t>
  </si>
  <si>
    <t>g</t>
  </si>
  <si>
    <t>Colazione</t>
  </si>
  <si>
    <t>Seeds, Flaxseed</t>
  </si>
  <si>
    <t>Elimination candidate: 4</t>
  </si>
  <si>
    <t>Chickpeas, dry, home soaked and cooked, no salt [AMC]</t>
  </si>
  <si>
    <t>Mattina</t>
  </si>
  <si>
    <t>Soy Milk, Plain or Original, Sweetened with Sugar, Ready-to-Drink, Enriched</t>
  </si>
  <si>
    <t>Elimination candidate: 5</t>
  </si>
  <si>
    <t>La Torrente, passata tradizionale [AMC]</t>
  </si>
  <si>
    <t>Spinach, raw</t>
  </si>
  <si>
    <t>fit&amp;pro Vegan Protein Bar low sugar Lemon</t>
  </si>
  <si>
    <t>each</t>
  </si>
  <si>
    <t>Elimination candidate: 2</t>
  </si>
  <si>
    <t>Walnuts</t>
  </si>
  <si>
    <t>Sir Winston - Pure Green Tea</t>
  </si>
  <si>
    <t>Drink</t>
  </si>
  <si>
    <t>Sunfood, Organic Black Seeds Ancient Super Seed Nigella Sativa</t>
  </si>
  <si>
    <t>Cacao, Nibs, Raw Organic</t>
  </si>
  <si>
    <t>Elimination candidate: 1</t>
  </si>
  <si>
    <t>Igart – Pure Dried Cranberries</t>
  </si>
  <si>
    <t>Elimination candidate: 3</t>
  </si>
  <si>
    <t>Pumpkin or Squash Seeds, Shelled, Unsalted</t>
  </si>
  <si>
    <t>Elimination candidate: 6</t>
  </si>
  <si>
    <t>Fase</t>
  </si>
  <si>
    <t>Inizio fase</t>
  </si>
  <si>
    <t>Alimento da terminare</t>
  </si>
  <si>
    <t>Data misurazione</t>
  </si>
  <si>
    <t>Termina il</t>
  </si>
  <si>
    <t>Costo</t>
  </si>
  <si>
    <t>Fase1</t>
  </si>
  <si>
    <t>Cacao Nibs + Cranberries</t>
  </si>
  <si>
    <t>Kg</t>
  </si>
  <si>
    <t>Fase2</t>
  </si>
  <si>
    <t>Barrette</t>
  </si>
  <si>
    <t>Fase3</t>
  </si>
  <si>
    <t>Soy Milk</t>
  </si>
  <si>
    <t>liters</t>
  </si>
  <si>
    <t>Fase4</t>
  </si>
  <si>
    <t>Semi (tutti)</t>
  </si>
  <si>
    <t>Fase5</t>
  </si>
  <si>
    <t>Nessuno</t>
  </si>
  <si>
    <t>La Rosina, passata di pomodoro [AMC]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</si>
</sst>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\-??_-;_-@_-"/>
    <numFmt numFmtId="165" formatCode="_-* #,##0_-;\-* #,##0_-;_-* \-_-;_-@_-"/>
    <numFmt numFmtId="166" formatCode="_-&quot;€ &quot;* #,##0.00_-;&quot;-€ &quot;* #,##0.00_-;_-&quot;€ &quot;* \-??_-;_-@_-"/>
    <numFmt numFmtId="167" formatCode="_-&quot;€ &quot;* #,##0_-;&quot;-€ &quot;* #,##0_-;_-&quot;€ &quot;* \-_-;_-@_-"/>
    <numFmt numFmtId="168" formatCode="0.00000"/>
    <numFmt numFmtId="169" formatCode="dd/mm/yyyy"/>
    <numFmt numFmtId="170" formatCode="[$€-410]\ #,##0.00;[Red]\-[$€-410]\ #,##0.00"/>
  </numFmts>
  <fonts count="4" x14ac:knownFonts="1">
    <font>
      <sz val="10"/>
      <name val="Arial"/>
      <family val="2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/>
      <top style="thin">
        <color auto="1"/>
      </top>
      <bottom/>
      <diagonal/>
    </border>
  </borders>
  <cellStyleXfs count="7">
    <xf numFmtId="0" fontId="0" fillId="0" borderId="0"/>
    <xf numFmtId="164" fontId="1" fillId="0" borderId="0"/>
    <xf numFmtId="165" fontId="1" fillId="0" borderId="0"/>
    <xf numFmtId="166" fontId="1" fillId="0" borderId="0"/>
    <xf numFmtId="167" fontId="1" fillId="0" borderId="0"/>
    <xf numFmtId="0" fontId="2" fillId="0" borderId="0"/>
    <xf numFmtId="9" fontId="1" fillId="0" borderId="0"/>
  </cellStyleXfs>
  <cellXfs count="19">
    <xf numFmtId="0" fontId="0" fillId="0" borderId="0" xfId="0"/>
    <xf numFmtId="0" fontId="2" fillId="0" borderId="0" xfId="5"/>
    <xf numFmtId="0" fontId="2" fillId="0" borderId="0" xfId="5" applyAlignment="1">
      <alignment horizontal="center"/>
    </xf>
    <xf numFmtId="49" fontId="3" fillId="2" borderId="1" xfId="5" applyNumberFormat="1" applyFont="1" applyFill="1" applyBorder="1" applyAlignment="1">
      <alignment horizontal="center" wrapText="1"/>
    </xf>
    <xf numFmtId="4" fontId="2" fillId="0" borderId="0" xfId="5" applyNumberFormat="1"/>
    <xf numFmtId="2" fontId="2" fillId="0" borderId="0" xfId="5" applyNumberFormat="1"/>
    <xf numFmtId="4" fontId="2" fillId="0" borderId="2" xfId="5" applyNumberFormat="1" applyBorder="1"/>
    <xf numFmtId="0" fontId="2" fillId="0" borderId="2" xfId="5" applyBorder="1" applyAlignment="1">
      <alignment horizontal="center"/>
    </xf>
    <xf numFmtId="0" fontId="3" fillId="0" borderId="0" xfId="5" applyFont="1"/>
    <xf numFmtId="4" fontId="3" fillId="0" borderId="0" xfId="5" applyNumberFormat="1" applyFont="1"/>
    <xf numFmtId="4" fontId="3" fillId="0" borderId="0" xfId="5" applyNumberFormat="1" applyFont="1" applyAlignment="1">
      <alignment horizontal="center"/>
    </xf>
    <xf numFmtId="4" fontId="3" fillId="0" borderId="3" xfId="5" applyNumberFormat="1" applyFont="1" applyBorder="1"/>
    <xf numFmtId="4" fontId="3" fillId="0" borderId="3" xfId="5" applyNumberFormat="1" applyFont="1" applyBorder="1" applyAlignment="1">
      <alignment horizontal="center"/>
    </xf>
    <xf numFmtId="168" fontId="2" fillId="0" borderId="0" xfId="5" applyNumberFormat="1"/>
    <xf numFmtId="169" fontId="2" fillId="0" borderId="0" xfId="5" applyNumberFormat="1" applyAlignment="1">
      <alignment horizontal="center"/>
    </xf>
    <xf numFmtId="170" fontId="2" fillId="0" borderId="0" xfId="5" applyNumberFormat="1"/>
    <xf numFmtId="0" fontId="3" fillId="2" borderId="1" xfId="5" applyFont="1" applyFill="1" applyBorder="1" applyAlignment="1">
      <alignment horizontal="center" vertical="center"/>
    </xf>
    <xf numFmtId="0" fontId="2" fillId="0" borderId="0" xfId="5" applyAlignment="1">
      <alignment horizontal="center" vertical="center"/>
    </xf>
    <xf numFmtId="169" fontId="2" fillId="0" borderId="0" xfId="5" applyNumberFormat="1"/>
  </cellXfs>
  <cellStyles count="7">
    <cellStyle name="Comma" xfId="1" xr:uid="{00000000-0005-0000-0000-000006000000}"/>
    <cellStyle name="Comma [0]" xfId="2" xr:uid="{00000000-0005-0000-0000-000007000000}"/>
    <cellStyle name="Currency" xfId="3" xr:uid="{00000000-0005-0000-0000-000008000000}"/>
    <cellStyle name="Currency [0]" xfId="4" xr:uid="{00000000-0005-0000-0000-000009000000}"/>
    <cellStyle name="Normal" xfId="5" xr:uid="{00000000-0005-0000-0000-00000A000000}"/>
    <cellStyle name="Normale" xfId="0" builtinId="0"/>
    <cellStyle name="Percent" xfId="6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zoomScale="150" zoomScaleNormal="150" workbookViewId="0">
      <selection activeCell="D6" sqref="D6"/>
    </sheetView>
  </sheetViews>
  <sheetFormatPr baseColWidth="10" defaultColWidth="11.5" defaultRowHeight="17" customHeight="1" x14ac:dyDescent="0.2"/>
  <cols>
    <col min="1" max="1" width="73.83203125" style="1" customWidth="1"/>
    <col min="2" max="2" width="5.5" style="1" customWidth="1"/>
    <col min="3" max="3" width="6" style="1" customWidth="1"/>
    <col min="4" max="4" width="5.5" style="1" customWidth="1"/>
    <col min="5" max="5" width="6.83203125" style="2" customWidth="1"/>
    <col min="6" max="6" width="5.5" style="1" customWidth="1"/>
    <col min="7" max="7" width="10.6640625" style="1" customWidth="1"/>
    <col min="8" max="8" width="24.83203125" style="1" customWidth="1"/>
  </cols>
  <sheetData>
    <row r="1" spans="1:8" s="1" customFormat="1" ht="17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s="1" customFormat="1" ht="17" customHeight="1" x14ac:dyDescent="0.2">
      <c r="A2" s="1" t="s">
        <v>8</v>
      </c>
      <c r="B2" s="1">
        <v>140</v>
      </c>
      <c r="C2" s="1" t="s">
        <v>9</v>
      </c>
      <c r="D2" s="4">
        <f>1.99/0.5*B2/1000</f>
        <v>0.55720000000000003</v>
      </c>
      <c r="E2" s="2">
        <v>3</v>
      </c>
      <c r="F2" s="4">
        <f t="shared" ref="F2:F15" si="0">IF(D2&gt;0, E2/D2, 0)</f>
        <v>5.3840631730078963</v>
      </c>
      <c r="G2" s="1" t="s">
        <v>10</v>
      </c>
    </row>
    <row r="3" spans="1:8" s="1" customFormat="1" ht="17" customHeight="1" x14ac:dyDescent="0.2">
      <c r="A3" s="1" t="s">
        <v>11</v>
      </c>
      <c r="B3" s="1">
        <v>16</v>
      </c>
      <c r="C3" s="1" t="s">
        <v>9</v>
      </c>
      <c r="D3" s="4">
        <f>7.23*B3/1000</f>
        <v>0.11568000000000001</v>
      </c>
      <c r="E3" s="2">
        <v>1</v>
      </c>
      <c r="F3" s="4">
        <f t="shared" si="0"/>
        <v>8.6445366528354075</v>
      </c>
      <c r="G3" s="1" t="s">
        <v>10</v>
      </c>
      <c r="H3" s="1" t="s">
        <v>12</v>
      </c>
    </row>
    <row r="4" spans="1:8" s="1" customFormat="1" ht="17" customHeight="1" x14ac:dyDescent="0.2">
      <c r="A4" s="1" t="s">
        <v>13</v>
      </c>
      <c r="B4" s="1">
        <f>650</f>
        <v>650</v>
      </c>
      <c r="C4" s="1" t="s">
        <v>9</v>
      </c>
      <c r="D4" s="4">
        <f>(4+0.5)/2.46*B4/1000</f>
        <v>1.1890243902439024</v>
      </c>
      <c r="E4" s="2">
        <v>6</v>
      </c>
      <c r="F4" s="4">
        <f t="shared" si="0"/>
        <v>5.046153846153846</v>
      </c>
      <c r="G4" s="1" t="s">
        <v>14</v>
      </c>
    </row>
    <row r="5" spans="1:8" s="1" customFormat="1" ht="17" customHeight="1" x14ac:dyDescent="0.2">
      <c r="A5" s="1" t="s">
        <v>15</v>
      </c>
      <c r="B5" s="1">
        <v>250</v>
      </c>
      <c r="C5" s="1" t="s">
        <v>9</v>
      </c>
      <c r="D5" s="4">
        <f>1.89*B5/1000</f>
        <v>0.47249999999999998</v>
      </c>
      <c r="E5" s="2">
        <v>2</v>
      </c>
      <c r="F5" s="4">
        <f t="shared" si="0"/>
        <v>4.2328042328042335</v>
      </c>
      <c r="G5" s="1" t="s">
        <v>10</v>
      </c>
      <c r="H5" s="1" t="s">
        <v>16</v>
      </c>
    </row>
    <row r="6" spans="1:8" s="1" customFormat="1" ht="17" customHeight="1" x14ac:dyDescent="0.2">
      <c r="A6" s="1" t="s">
        <v>17</v>
      </c>
      <c r="B6" s="1">
        <v>500</v>
      </c>
      <c r="C6" s="1" t="s">
        <v>9</v>
      </c>
      <c r="D6" s="4">
        <f>1.39/0.7*B6/1000</f>
        <v>0.99285714285714288</v>
      </c>
      <c r="E6" s="2">
        <v>3</v>
      </c>
      <c r="F6" s="4">
        <f t="shared" si="0"/>
        <v>3.0215827338129495</v>
      </c>
      <c r="G6" s="1" t="s">
        <v>14</v>
      </c>
    </row>
    <row r="7" spans="1:8" s="1" customFormat="1" ht="17" customHeight="1" x14ac:dyDescent="0.2">
      <c r="A7" s="1" t="s">
        <v>18</v>
      </c>
      <c r="B7" s="1">
        <v>500</v>
      </c>
      <c r="C7" s="1" t="s">
        <v>9</v>
      </c>
      <c r="D7" s="4">
        <f>2.19/0.5*B7/1000</f>
        <v>2.19</v>
      </c>
      <c r="E7" s="2">
        <v>6</v>
      </c>
      <c r="F7" s="4">
        <f t="shared" si="0"/>
        <v>2.7397260273972601</v>
      </c>
      <c r="G7" s="1" t="s">
        <v>14</v>
      </c>
    </row>
    <row r="8" spans="1:8" s="1" customFormat="1" ht="17" customHeight="1" x14ac:dyDescent="0.2">
      <c r="A8" s="1" t="s">
        <v>19</v>
      </c>
      <c r="B8" s="5">
        <f>(5*2+2)/7</f>
        <v>1.7142857142857142</v>
      </c>
      <c r="C8" s="1" t="s">
        <v>20</v>
      </c>
      <c r="D8" s="4">
        <f>0.99*B8</f>
        <v>1.6971428571428571</v>
      </c>
      <c r="E8" s="2">
        <v>2</v>
      </c>
      <c r="F8" s="4">
        <f t="shared" si="0"/>
        <v>1.1784511784511784</v>
      </c>
      <c r="G8" s="1" t="s">
        <v>14</v>
      </c>
      <c r="H8" s="1" t="s">
        <v>21</v>
      </c>
    </row>
    <row r="9" spans="1:8" s="1" customFormat="1" ht="17" customHeight="1" x14ac:dyDescent="0.2">
      <c r="A9" s="1" t="s">
        <v>22</v>
      </c>
      <c r="B9" s="1">
        <v>0</v>
      </c>
      <c r="C9" s="1" t="s">
        <v>9</v>
      </c>
      <c r="D9" s="4">
        <f>17.9*B9/1000</f>
        <v>0</v>
      </c>
      <c r="E9" s="2">
        <v>1</v>
      </c>
      <c r="F9" s="4">
        <f t="shared" si="0"/>
        <v>0</v>
      </c>
      <c r="G9" s="1" t="s">
        <v>10</v>
      </c>
    </row>
    <row r="10" spans="1:8" s="1" customFormat="1" ht="17" customHeight="1" x14ac:dyDescent="0.2">
      <c r="A10" s="1" t="s">
        <v>23</v>
      </c>
      <c r="B10" s="1">
        <v>1</v>
      </c>
      <c r="C10" s="1" t="s">
        <v>20</v>
      </c>
      <c r="D10" s="4">
        <f>2/20*B10</f>
        <v>0.1</v>
      </c>
      <c r="E10" s="2">
        <v>0</v>
      </c>
      <c r="F10" s="4">
        <f t="shared" si="0"/>
        <v>0</v>
      </c>
      <c r="G10" s="1" t="s">
        <v>24</v>
      </c>
    </row>
    <row r="11" spans="1:8" s="1" customFormat="1" ht="17" customHeight="1" x14ac:dyDescent="0.2">
      <c r="A11" s="1" t="s">
        <v>25</v>
      </c>
      <c r="B11" s="1">
        <v>4</v>
      </c>
      <c r="C11" s="1" t="s">
        <v>9</v>
      </c>
      <c r="D11" s="4">
        <f>20.99*B11/1000</f>
        <v>8.3959999999999993E-2</v>
      </c>
      <c r="E11" s="2">
        <v>0</v>
      </c>
      <c r="F11" s="4">
        <f t="shared" si="0"/>
        <v>0</v>
      </c>
      <c r="G11" s="1" t="s">
        <v>10</v>
      </c>
      <c r="H11" s="1" t="s">
        <v>12</v>
      </c>
    </row>
    <row r="12" spans="1:8" s="1" customFormat="1" ht="17" customHeight="1" x14ac:dyDescent="0.2">
      <c r="A12" s="1" t="s">
        <v>26</v>
      </c>
      <c r="B12" s="1">
        <v>20</v>
      </c>
      <c r="C12" s="1" t="s">
        <v>9</v>
      </c>
      <c r="D12" s="4">
        <f>31.44*B12/1000</f>
        <v>0.62880000000000003</v>
      </c>
      <c r="E12" s="2">
        <v>0</v>
      </c>
      <c r="F12" s="4">
        <f t="shared" si="0"/>
        <v>0</v>
      </c>
      <c r="G12" s="1" t="s">
        <v>10</v>
      </c>
      <c r="H12" s="1" t="s">
        <v>27</v>
      </c>
    </row>
    <row r="13" spans="1:8" s="1" customFormat="1" ht="17" customHeight="1" x14ac:dyDescent="0.2">
      <c r="A13" s="1" t="s">
        <v>28</v>
      </c>
      <c r="B13" s="1">
        <v>60</v>
      </c>
      <c r="C13" s="1" t="s">
        <v>9</v>
      </c>
      <c r="D13" s="4">
        <f>34.95/3*B13/1000</f>
        <v>0.69899999999999995</v>
      </c>
      <c r="E13" s="2">
        <v>0</v>
      </c>
      <c r="F13" s="4">
        <f t="shared" si="0"/>
        <v>0</v>
      </c>
      <c r="G13" s="1" t="s">
        <v>10</v>
      </c>
      <c r="H13" s="1" t="s">
        <v>29</v>
      </c>
    </row>
    <row r="14" spans="1:8" s="1" customFormat="1" ht="17" customHeight="1" x14ac:dyDescent="0.2">
      <c r="A14" s="1" t="s">
        <v>30</v>
      </c>
      <c r="B14" s="1">
        <v>0</v>
      </c>
      <c r="C14" s="1" t="s">
        <v>9</v>
      </c>
      <c r="D14" s="6">
        <f>11*B14/1000</f>
        <v>0</v>
      </c>
      <c r="E14" s="7">
        <v>0</v>
      </c>
      <c r="F14" s="6">
        <f t="shared" si="0"/>
        <v>0</v>
      </c>
      <c r="G14" s="1" t="s">
        <v>10</v>
      </c>
      <c r="H14" s="1" t="s">
        <v>31</v>
      </c>
    </row>
    <row r="15" spans="1:8" ht="17" customHeight="1" x14ac:dyDescent="0.2">
      <c r="B15" s="8"/>
      <c r="C15" s="8"/>
      <c r="D15" s="9">
        <f>SUM(D2:D14)</f>
        <v>8.7261643902439037</v>
      </c>
      <c r="E15" s="10">
        <f>SUM(E2:E14)</f>
        <v>24</v>
      </c>
      <c r="F15" s="9">
        <f t="shared" si="0"/>
        <v>2.750349285974107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8574"/>
  <sheetViews>
    <sheetView zoomScale="150" zoomScaleNormal="150" workbookViewId="0">
      <selection activeCell="D7" sqref="D7"/>
    </sheetView>
  </sheetViews>
  <sheetFormatPr baseColWidth="10" defaultColWidth="10" defaultRowHeight="15" customHeight="1" x14ac:dyDescent="0.2"/>
  <cols>
    <col min="1" max="1" width="74" style="1" customWidth="1"/>
    <col min="2" max="2" width="5.5" style="1" customWidth="1"/>
    <col min="3" max="3" width="6" style="1" customWidth="1"/>
    <col min="4" max="4" width="5.83203125" style="1" customWidth="1"/>
    <col min="5" max="5" width="5.6640625" style="2" customWidth="1"/>
    <col min="6" max="6" width="7.1640625" style="1" customWidth="1"/>
    <col min="7" max="7" width="14.33203125" style="1" customWidth="1"/>
    <col min="8" max="8" width="24.6640625" style="1" customWidth="1"/>
  </cols>
  <sheetData>
    <row r="1" spans="1:8" s="1" customFormat="1" ht="18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s="1" customFormat="1" ht="15" customHeight="1" x14ac:dyDescent="0.2">
      <c r="A2" s="1" t="s">
        <v>8</v>
      </c>
      <c r="B2" s="1">
        <v>140</v>
      </c>
      <c r="C2" s="1" t="s">
        <v>9</v>
      </c>
      <c r="D2" s="4">
        <f>1.99/0.5*B2/1000</f>
        <v>0.55720000000000003</v>
      </c>
      <c r="E2" s="2">
        <v>4</v>
      </c>
      <c r="F2" s="4">
        <f t="shared" ref="F2:F13" si="0">IF(D2&gt;0, E2/D2, 0)</f>
        <v>7.1787508973438614</v>
      </c>
      <c r="G2" s="1" t="s">
        <v>10</v>
      </c>
    </row>
    <row r="3" spans="1:8" s="1" customFormat="1" ht="15" customHeight="1" x14ac:dyDescent="0.2">
      <c r="A3" s="1" t="s">
        <v>11</v>
      </c>
      <c r="B3" s="1">
        <v>16</v>
      </c>
      <c r="C3" s="1" t="s">
        <v>9</v>
      </c>
      <c r="D3" s="4">
        <f>7.23*B3/1000</f>
        <v>0.11568000000000001</v>
      </c>
      <c r="E3" s="2">
        <v>1</v>
      </c>
      <c r="F3" s="4">
        <f t="shared" si="0"/>
        <v>8.6445366528354075</v>
      </c>
      <c r="G3" s="1" t="s">
        <v>10</v>
      </c>
      <c r="H3" s="1" t="s">
        <v>12</v>
      </c>
    </row>
    <row r="4" spans="1:8" s="1" customFormat="1" ht="15" customHeight="1" x14ac:dyDescent="0.2">
      <c r="A4" s="1" t="s">
        <v>13</v>
      </c>
      <c r="B4" s="1">
        <v>700</v>
      </c>
      <c r="C4" s="1" t="s">
        <v>9</v>
      </c>
      <c r="D4" s="4">
        <f>(4+0.5)/2.46*B4/1000</f>
        <v>1.2804878048780488</v>
      </c>
      <c r="E4" s="2">
        <v>6</v>
      </c>
      <c r="F4" s="4">
        <f t="shared" si="0"/>
        <v>4.6857142857142859</v>
      </c>
      <c r="G4" s="1" t="s">
        <v>14</v>
      </c>
    </row>
    <row r="5" spans="1:8" s="1" customFormat="1" ht="15" customHeight="1" x14ac:dyDescent="0.2">
      <c r="A5" s="1" t="s">
        <v>15</v>
      </c>
      <c r="B5" s="1">
        <v>250</v>
      </c>
      <c r="C5" s="1" t="s">
        <v>9</v>
      </c>
      <c r="D5" s="4">
        <f>1.89*B5/1000</f>
        <v>0.47249999999999998</v>
      </c>
      <c r="E5" s="2">
        <v>2</v>
      </c>
      <c r="F5" s="4">
        <f t="shared" si="0"/>
        <v>4.2328042328042335</v>
      </c>
      <c r="G5" s="1" t="s">
        <v>10</v>
      </c>
      <c r="H5" s="1" t="s">
        <v>16</v>
      </c>
    </row>
    <row r="6" spans="1:8" s="1" customFormat="1" ht="15" customHeight="1" x14ac:dyDescent="0.2">
      <c r="A6" s="1" t="s">
        <v>18</v>
      </c>
      <c r="B6" s="1">
        <v>500</v>
      </c>
      <c r="C6" s="1" t="s">
        <v>9</v>
      </c>
      <c r="D6" s="4">
        <f>2.19/0.5*B6/1000</f>
        <v>2.19</v>
      </c>
      <c r="E6" s="2">
        <v>8</v>
      </c>
      <c r="F6" s="4">
        <f t="shared" si="0"/>
        <v>3.6529680365296806</v>
      </c>
      <c r="G6" s="1" t="s">
        <v>14</v>
      </c>
    </row>
    <row r="7" spans="1:8" s="1" customFormat="1" ht="15" customHeight="1" x14ac:dyDescent="0.2">
      <c r="A7" s="1" t="s">
        <v>17</v>
      </c>
      <c r="B7" s="1">
        <v>700</v>
      </c>
      <c r="C7" s="1" t="s">
        <v>9</v>
      </c>
      <c r="D7" s="4">
        <f>1.39/0.7*B7/1000</f>
        <v>1.39</v>
      </c>
      <c r="E7" s="2">
        <v>3</v>
      </c>
      <c r="F7" s="4">
        <f t="shared" si="0"/>
        <v>2.1582733812949644</v>
      </c>
      <c r="G7" s="1" t="s">
        <v>14</v>
      </c>
    </row>
    <row r="8" spans="1:8" s="1" customFormat="1" ht="15" customHeight="1" x14ac:dyDescent="0.2">
      <c r="A8" s="1" t="s">
        <v>22</v>
      </c>
      <c r="B8" s="1">
        <v>0</v>
      </c>
      <c r="C8" s="1" t="s">
        <v>9</v>
      </c>
      <c r="D8" s="4">
        <f>17.9*B8/1000</f>
        <v>0</v>
      </c>
      <c r="E8" s="2">
        <v>1</v>
      </c>
      <c r="F8" s="4">
        <f t="shared" si="0"/>
        <v>0</v>
      </c>
      <c r="G8" s="1" t="s">
        <v>10</v>
      </c>
    </row>
    <row r="9" spans="1:8" s="1" customFormat="1" ht="15" customHeight="1" x14ac:dyDescent="0.2">
      <c r="A9" s="1" t="s">
        <v>23</v>
      </c>
      <c r="B9" s="1">
        <v>1</v>
      </c>
      <c r="C9" s="1" t="s">
        <v>20</v>
      </c>
      <c r="D9" s="4">
        <f>2/20*B9</f>
        <v>0.1</v>
      </c>
      <c r="E9" s="2">
        <v>0</v>
      </c>
      <c r="F9" s="4">
        <f t="shared" si="0"/>
        <v>0</v>
      </c>
      <c r="G9" s="1" t="s">
        <v>24</v>
      </c>
    </row>
    <row r="10" spans="1:8" s="1" customFormat="1" ht="15" customHeight="1" x14ac:dyDescent="0.2">
      <c r="A10" s="1" t="s">
        <v>25</v>
      </c>
      <c r="B10" s="1">
        <v>4</v>
      </c>
      <c r="C10" s="1" t="s">
        <v>9</v>
      </c>
      <c r="D10" s="4">
        <f>20.99*B10/1000</f>
        <v>8.3959999999999993E-2</v>
      </c>
      <c r="E10" s="2">
        <v>0</v>
      </c>
      <c r="F10" s="4">
        <f t="shared" si="0"/>
        <v>0</v>
      </c>
      <c r="G10" s="1" t="s">
        <v>10</v>
      </c>
      <c r="H10" s="1" t="s">
        <v>12</v>
      </c>
    </row>
    <row r="11" spans="1:8" s="1" customFormat="1" ht="15" customHeight="1" x14ac:dyDescent="0.2">
      <c r="A11" s="1" t="s">
        <v>19</v>
      </c>
      <c r="B11" s="5">
        <f>(5*2+2)/7</f>
        <v>1.7142857142857142</v>
      </c>
      <c r="C11" s="1" t="s">
        <v>20</v>
      </c>
      <c r="D11" s="4">
        <f>0.99*B11</f>
        <v>1.6971428571428571</v>
      </c>
      <c r="E11" s="2">
        <v>2</v>
      </c>
      <c r="F11" s="4">
        <f t="shared" si="0"/>
        <v>1.1784511784511784</v>
      </c>
      <c r="G11" s="1" t="s">
        <v>14</v>
      </c>
      <c r="H11" s="1" t="s">
        <v>21</v>
      </c>
    </row>
    <row r="12" spans="1:8" s="1" customFormat="1" ht="15" customHeight="1" x14ac:dyDescent="0.2">
      <c r="A12" s="1" t="s">
        <v>30</v>
      </c>
      <c r="B12" s="1">
        <v>20</v>
      </c>
      <c r="C12" s="1" t="s">
        <v>9</v>
      </c>
      <c r="D12" s="4">
        <f>11*B12/1000</f>
        <v>0.22</v>
      </c>
      <c r="E12" s="2">
        <v>3</v>
      </c>
      <c r="F12" s="4">
        <f t="shared" si="0"/>
        <v>13.636363636363637</v>
      </c>
      <c r="G12" s="1" t="s">
        <v>10</v>
      </c>
      <c r="H12" s="1" t="s">
        <v>31</v>
      </c>
    </row>
    <row r="13" spans="1:8" ht="15" customHeight="1" x14ac:dyDescent="0.2">
      <c r="B13" s="8"/>
      <c r="C13" s="8"/>
      <c r="D13" s="11">
        <f>SUM(D2:D12)</f>
        <v>8.1069706620209061</v>
      </c>
      <c r="E13" s="12">
        <f>SUM(E2:E12)</f>
        <v>30</v>
      </c>
      <c r="F13" s="11">
        <f t="shared" si="0"/>
        <v>3.7005191273902547</v>
      </c>
    </row>
    <row r="1048573" ht="12.75" customHeight="1" x14ac:dyDescent="0.2"/>
    <row r="1048574" ht="12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8576"/>
  <sheetViews>
    <sheetView zoomScale="150" zoomScaleNormal="150" workbookViewId="0">
      <selection activeCell="A8" sqref="A8"/>
    </sheetView>
  </sheetViews>
  <sheetFormatPr baseColWidth="10" defaultColWidth="10" defaultRowHeight="15" customHeight="1" x14ac:dyDescent="0.2"/>
  <cols>
    <col min="1" max="1" width="74" style="1" customWidth="1"/>
    <col min="2" max="2" width="5.33203125" style="1" customWidth="1"/>
    <col min="3" max="3" width="6" style="1" customWidth="1"/>
    <col min="4" max="4" width="5.83203125" style="1" customWidth="1"/>
    <col min="5" max="5" width="7.1640625" style="2" customWidth="1"/>
    <col min="6" max="6" width="7.1640625" style="1" customWidth="1"/>
    <col min="7" max="7" width="11.5" style="1" customWidth="1"/>
    <col min="8" max="8" width="24.6640625" style="1" customWidth="1"/>
  </cols>
  <sheetData>
    <row r="1" spans="1:8" s="1" customFormat="1" ht="16.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s="1" customFormat="1" ht="15" customHeight="1" x14ac:dyDescent="0.2">
      <c r="A2" s="1" t="s">
        <v>8</v>
      </c>
      <c r="B2" s="1">
        <v>140</v>
      </c>
      <c r="C2" s="1" t="s">
        <v>9</v>
      </c>
      <c r="D2" s="4">
        <f>1.99/0.5*B2/1000</f>
        <v>0.55720000000000003</v>
      </c>
      <c r="E2" s="2">
        <v>4</v>
      </c>
      <c r="F2" s="4">
        <f t="shared" ref="F2:F12" si="0">IF(D2&gt;0, E2/D2, 0)</f>
        <v>7.1787508973438614</v>
      </c>
      <c r="G2" s="1" t="s">
        <v>10</v>
      </c>
    </row>
    <row r="3" spans="1:8" s="1" customFormat="1" ht="15" customHeight="1" x14ac:dyDescent="0.2">
      <c r="A3" s="1" t="s">
        <v>22</v>
      </c>
      <c r="B3" s="1">
        <v>0</v>
      </c>
      <c r="C3" s="1" t="s">
        <v>9</v>
      </c>
      <c r="D3" s="4">
        <f>17.9*B3/1000</f>
        <v>0</v>
      </c>
      <c r="E3" s="2">
        <v>1</v>
      </c>
      <c r="F3" s="4">
        <f t="shared" si="0"/>
        <v>0</v>
      </c>
      <c r="G3" s="1" t="s">
        <v>10</v>
      </c>
    </row>
    <row r="4" spans="1:8" s="1" customFormat="1" ht="15" customHeight="1" x14ac:dyDescent="0.2">
      <c r="A4" s="1" t="s">
        <v>25</v>
      </c>
      <c r="B4" s="1">
        <v>4</v>
      </c>
      <c r="C4" s="1" t="s">
        <v>9</v>
      </c>
      <c r="D4" s="4">
        <f>20.99*B4/1000</f>
        <v>8.3959999999999993E-2</v>
      </c>
      <c r="E4" s="2">
        <v>1</v>
      </c>
      <c r="F4" s="4">
        <f t="shared" si="0"/>
        <v>11.910433539780849</v>
      </c>
      <c r="G4" s="1" t="s">
        <v>10</v>
      </c>
      <c r="H4" s="1" t="s">
        <v>12</v>
      </c>
    </row>
    <row r="5" spans="1:8" s="1" customFormat="1" ht="15" customHeight="1" x14ac:dyDescent="0.2">
      <c r="A5" s="1" t="s">
        <v>13</v>
      </c>
      <c r="B5" s="1">
        <v>600</v>
      </c>
      <c r="C5" s="1" t="s">
        <v>9</v>
      </c>
      <c r="D5" s="4">
        <f>(4+0.5)/2.46*B5/1000</f>
        <v>1.097560975609756</v>
      </c>
      <c r="E5" s="2">
        <v>8</v>
      </c>
      <c r="F5" s="4">
        <f t="shared" si="0"/>
        <v>7.2888888888888896</v>
      </c>
      <c r="G5" s="1" t="s">
        <v>14</v>
      </c>
    </row>
    <row r="6" spans="1:8" s="1" customFormat="1" ht="15" customHeight="1" x14ac:dyDescent="0.2">
      <c r="A6" s="1" t="s">
        <v>15</v>
      </c>
      <c r="B6" s="1">
        <v>250</v>
      </c>
      <c r="C6" s="1" t="s">
        <v>9</v>
      </c>
      <c r="D6" s="4">
        <f>1.89*B6/1000</f>
        <v>0.47249999999999998</v>
      </c>
      <c r="E6" s="2">
        <v>2</v>
      </c>
      <c r="F6" s="4">
        <f t="shared" si="0"/>
        <v>4.2328042328042335</v>
      </c>
      <c r="G6" s="1" t="s">
        <v>10</v>
      </c>
      <c r="H6" s="1" t="s">
        <v>16</v>
      </c>
    </row>
    <row r="7" spans="1:8" s="1" customFormat="1" ht="15" customHeight="1" x14ac:dyDescent="0.2">
      <c r="A7" s="1" t="s">
        <v>18</v>
      </c>
      <c r="B7" s="1">
        <v>500</v>
      </c>
      <c r="C7" s="1" t="s">
        <v>9</v>
      </c>
      <c r="D7" s="4">
        <f>2.19/0.5*B7/1000</f>
        <v>2.19</v>
      </c>
      <c r="E7" s="2">
        <v>8</v>
      </c>
      <c r="F7" s="4">
        <f t="shared" si="0"/>
        <v>3.6529680365296806</v>
      </c>
      <c r="G7" s="1" t="s">
        <v>14</v>
      </c>
    </row>
    <row r="8" spans="1:8" s="1" customFormat="1" ht="15" customHeight="1" x14ac:dyDescent="0.2">
      <c r="A8" s="1" t="s">
        <v>17</v>
      </c>
      <c r="B8" s="1">
        <v>1000</v>
      </c>
      <c r="C8" s="1" t="s">
        <v>9</v>
      </c>
      <c r="D8" s="4">
        <f>1.39/0.7*B8/1000</f>
        <v>1.9857142857142858</v>
      </c>
      <c r="E8" s="2">
        <v>3</v>
      </c>
      <c r="F8" s="4">
        <f t="shared" si="0"/>
        <v>1.5107913669064748</v>
      </c>
      <c r="G8" s="1" t="s">
        <v>14</v>
      </c>
    </row>
    <row r="9" spans="1:8" s="1" customFormat="1" ht="15" customHeight="1" x14ac:dyDescent="0.2">
      <c r="A9" s="1" t="s">
        <v>23</v>
      </c>
      <c r="B9" s="1">
        <v>1</v>
      </c>
      <c r="C9" s="1" t="s">
        <v>20</v>
      </c>
      <c r="D9" s="4">
        <f>2/20*B9</f>
        <v>0.1</v>
      </c>
      <c r="E9" s="2">
        <v>0</v>
      </c>
      <c r="F9" s="4">
        <f t="shared" si="0"/>
        <v>0</v>
      </c>
      <c r="G9" s="1" t="s">
        <v>24</v>
      </c>
    </row>
    <row r="10" spans="1:8" s="1" customFormat="1" ht="15" customHeight="1" x14ac:dyDescent="0.2">
      <c r="A10" s="1" t="s">
        <v>11</v>
      </c>
      <c r="B10" s="1">
        <v>16</v>
      </c>
      <c r="C10" s="1" t="s">
        <v>9</v>
      </c>
      <c r="D10" s="4">
        <f>7.23*B10/1000</f>
        <v>0.11568000000000001</v>
      </c>
      <c r="E10" s="2">
        <v>0</v>
      </c>
      <c r="F10" s="4">
        <f t="shared" si="0"/>
        <v>0</v>
      </c>
      <c r="G10" s="1" t="s">
        <v>10</v>
      </c>
      <c r="H10" s="1" t="s">
        <v>12</v>
      </c>
    </row>
    <row r="11" spans="1:8" s="1" customFormat="1" ht="15" customHeight="1" x14ac:dyDescent="0.2">
      <c r="A11" s="1" t="s">
        <v>30</v>
      </c>
      <c r="B11" s="1">
        <v>20</v>
      </c>
      <c r="C11" s="1" t="s">
        <v>9</v>
      </c>
      <c r="D11" s="4">
        <f>11*B11/1000</f>
        <v>0.22</v>
      </c>
      <c r="E11" s="2">
        <v>0</v>
      </c>
      <c r="F11" s="4">
        <f t="shared" si="0"/>
        <v>0</v>
      </c>
      <c r="G11" s="1" t="s">
        <v>10</v>
      </c>
      <c r="H11" s="1" t="s">
        <v>31</v>
      </c>
    </row>
    <row r="12" spans="1:8" ht="15" customHeight="1" x14ac:dyDescent="0.2">
      <c r="D12" s="11">
        <f>SUM(D2:D11)</f>
        <v>6.8226152613240414</v>
      </c>
      <c r="E12" s="12">
        <f>SUM(E2:E11)</f>
        <v>27</v>
      </c>
      <c r="F12" s="11">
        <f t="shared" si="0"/>
        <v>3.9574267294621275</v>
      </c>
    </row>
    <row r="14" spans="1:8" s="1" customFormat="1" ht="15" customHeight="1" x14ac:dyDescent="0.2">
      <c r="E14" s="2"/>
    </row>
    <row r="15" spans="1:8" ht="15" customHeight="1" x14ac:dyDescent="0.2">
      <c r="B15" s="8"/>
      <c r="C15" s="8"/>
      <c r="E15" s="1"/>
    </row>
    <row r="1048573" ht="12.75" customHeight="1" x14ac:dyDescent="0.2"/>
    <row r="1048574" ht="12.75" customHeight="1" x14ac:dyDescent="0.2"/>
    <row r="1048575" ht="12.75" customHeight="1" x14ac:dyDescent="0.2"/>
    <row r="1048576" ht="12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48575"/>
  <sheetViews>
    <sheetView tabSelected="1" zoomScale="150" zoomScaleNormal="150" workbookViewId="0">
      <selection activeCell="A7" sqref="A7"/>
    </sheetView>
  </sheetViews>
  <sheetFormatPr baseColWidth="10" defaultColWidth="11.5" defaultRowHeight="15" customHeight="1" x14ac:dyDescent="0.2"/>
  <cols>
    <col min="1" max="1" width="50.6640625" style="1" bestFit="1" customWidth="1"/>
    <col min="2" max="2" width="6.1640625" style="1" customWidth="1"/>
    <col min="3" max="3" width="6" style="1" customWidth="1"/>
    <col min="4" max="4" width="5.5" style="1" customWidth="1"/>
    <col min="5" max="5" width="6.83203125" style="2" customWidth="1"/>
    <col min="6" max="6" width="6.83203125" style="1" customWidth="1"/>
    <col min="7" max="7" width="10.6640625" style="1" customWidth="1"/>
    <col min="8" max="8" width="24.83203125" style="1" customWidth="1"/>
  </cols>
  <sheetData>
    <row r="1" spans="1:8" s="1" customFormat="1" ht="16.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s="1" customFormat="1" ht="15" customHeight="1" x14ac:dyDescent="0.2">
      <c r="A2" s="1" t="s">
        <v>8</v>
      </c>
      <c r="B2" s="1">
        <v>140</v>
      </c>
      <c r="C2" s="1" t="s">
        <v>9</v>
      </c>
      <c r="D2" s="4">
        <f>1.99/0.5*B2/1000</f>
        <v>0.55720000000000003</v>
      </c>
      <c r="E2" s="2">
        <v>4</v>
      </c>
      <c r="F2" s="4">
        <f t="shared" ref="F2:F10" si="0">IF(D2&gt;0, E2/D2, 0)</f>
        <v>7.1787508973438614</v>
      </c>
      <c r="G2" s="1" t="s">
        <v>10</v>
      </c>
    </row>
    <row r="3" spans="1:8" s="1" customFormat="1" ht="15" customHeight="1" x14ac:dyDescent="0.2">
      <c r="A3" s="1" t="s">
        <v>22</v>
      </c>
      <c r="B3" s="1">
        <v>16</v>
      </c>
      <c r="C3" s="1" t="s">
        <v>9</v>
      </c>
      <c r="D3" s="4">
        <f>17.9*B3/1000</f>
        <v>0.28639999999999999</v>
      </c>
      <c r="E3" s="2">
        <v>1</v>
      </c>
      <c r="F3" s="4">
        <f t="shared" si="0"/>
        <v>3.4916201117318435</v>
      </c>
      <c r="G3" s="1" t="s">
        <v>10</v>
      </c>
    </row>
    <row r="4" spans="1:8" s="1" customFormat="1" ht="15" customHeight="1" x14ac:dyDescent="0.2">
      <c r="A4" s="1" t="s">
        <v>13</v>
      </c>
      <c r="B4" s="1">
        <v>800</v>
      </c>
      <c r="C4" s="1" t="s">
        <v>9</v>
      </c>
      <c r="D4" s="4">
        <f>(4+0.5)/2.46*B4/1000</f>
        <v>1.4634146341463414</v>
      </c>
      <c r="E4" s="2">
        <v>9</v>
      </c>
      <c r="F4" s="4">
        <f t="shared" si="0"/>
        <v>6.15</v>
      </c>
      <c r="G4" s="1" t="s">
        <v>14</v>
      </c>
    </row>
    <row r="5" spans="1:8" s="1" customFormat="1" ht="15" customHeight="1" x14ac:dyDescent="0.2">
      <c r="A5" s="1" t="s">
        <v>18</v>
      </c>
      <c r="B5" s="1">
        <v>500</v>
      </c>
      <c r="C5" s="1" t="s">
        <v>9</v>
      </c>
      <c r="D5" s="4">
        <f>2.19/0.5*B5/1000</f>
        <v>2.19</v>
      </c>
      <c r="E5" s="2">
        <v>10</v>
      </c>
      <c r="F5" s="4">
        <f t="shared" si="0"/>
        <v>4.5662100456621006</v>
      </c>
      <c r="G5" s="1" t="s">
        <v>14</v>
      </c>
    </row>
    <row r="6" spans="1:8" s="1" customFormat="1" ht="15" customHeight="1" x14ac:dyDescent="0.2">
      <c r="A6" s="1" t="s">
        <v>50</v>
      </c>
      <c r="B6" s="1">
        <v>1000</v>
      </c>
      <c r="C6" s="1" t="s">
        <v>9</v>
      </c>
      <c r="D6" s="4">
        <f>0.85/0.7*B6/1000</f>
        <v>1.2142857142857144</v>
      </c>
      <c r="E6" s="2">
        <v>4</v>
      </c>
      <c r="F6" s="4">
        <f t="shared" si="0"/>
        <v>3.2941176470588234</v>
      </c>
      <c r="G6" s="1" t="s">
        <v>14</v>
      </c>
    </row>
    <row r="7" spans="1:8" s="1" customFormat="1" ht="15" customHeight="1" x14ac:dyDescent="0.2">
      <c r="A7" s="1" t="s">
        <v>23</v>
      </c>
      <c r="B7" s="1">
        <v>1</v>
      </c>
      <c r="C7" s="1" t="s">
        <v>20</v>
      </c>
      <c r="D7" s="4">
        <f>2/20*B7</f>
        <v>0.1</v>
      </c>
      <c r="E7" s="2">
        <v>0</v>
      </c>
      <c r="F7" s="4">
        <f t="shared" si="0"/>
        <v>0</v>
      </c>
      <c r="G7" s="1" t="s">
        <v>24</v>
      </c>
    </row>
    <row r="8" spans="1:8" s="1" customFormat="1" ht="15" customHeight="1" x14ac:dyDescent="0.2">
      <c r="A8" s="1" t="s">
        <v>11</v>
      </c>
      <c r="B8" s="1">
        <v>16</v>
      </c>
      <c r="C8" s="1" t="s">
        <v>9</v>
      </c>
      <c r="D8" s="4">
        <f>7.23*B8/1000</f>
        <v>0.11568000000000001</v>
      </c>
      <c r="E8" s="2">
        <v>0</v>
      </c>
      <c r="F8" s="4">
        <f>IF(D8&gt;0, E8/D8, 0)</f>
        <v>0</v>
      </c>
      <c r="G8" s="1" t="s">
        <v>10</v>
      </c>
      <c r="H8" s="1" t="s">
        <v>12</v>
      </c>
    </row>
    <row r="9" spans="1:8" s="1" customFormat="1" ht="15" customHeight="1" x14ac:dyDescent="0.2">
      <c r="A9" s="1" t="s">
        <v>25</v>
      </c>
      <c r="B9" s="1">
        <v>4</v>
      </c>
      <c r="C9" s="1" t="s">
        <v>9</v>
      </c>
      <c r="D9" s="4">
        <f>20.99*B9/1000</f>
        <v>8.3959999999999993E-2</v>
      </c>
      <c r="E9" s="2">
        <v>0</v>
      </c>
      <c r="F9" s="4">
        <f t="shared" si="0"/>
        <v>0</v>
      </c>
      <c r="G9" s="1" t="s">
        <v>10</v>
      </c>
      <c r="H9" s="1" t="s">
        <v>12</v>
      </c>
    </row>
    <row r="10" spans="1:8" s="1" customFormat="1" ht="15" customHeight="1" x14ac:dyDescent="0.2">
      <c r="B10" s="8"/>
      <c r="C10" s="8"/>
      <c r="D10" s="11">
        <f>SUM(D2:D9)</f>
        <v>6.0109403484320554</v>
      </c>
      <c r="E10" s="12">
        <f>SUM(E2:E9)</f>
        <v>28</v>
      </c>
      <c r="F10" s="11">
        <f t="shared" si="0"/>
        <v>4.6581729940646905</v>
      </c>
    </row>
    <row r="11" spans="1:8" s="1" customFormat="1" ht="15" customHeight="1" x14ac:dyDescent="0.2">
      <c r="F11" s="13"/>
    </row>
    <row r="1048571" ht="12.75" customHeight="1" x14ac:dyDescent="0.2"/>
    <row r="1048574" ht="12.75" customHeight="1" x14ac:dyDescent="0.2"/>
    <row r="1048575" ht="12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48576"/>
  <sheetViews>
    <sheetView zoomScale="150" zoomScaleNormal="150" workbookViewId="0">
      <selection activeCell="A7" sqref="A7"/>
    </sheetView>
  </sheetViews>
  <sheetFormatPr baseColWidth="10" defaultColWidth="11.5" defaultRowHeight="15" customHeight="1" x14ac:dyDescent="0.2"/>
  <cols>
    <col min="1" max="1" width="51.33203125" style="1" customWidth="1"/>
    <col min="2" max="2" width="6.1640625" style="1" customWidth="1"/>
    <col min="3" max="3" width="6" style="1" customWidth="1"/>
    <col min="4" max="4" width="5.5" style="1" customWidth="1"/>
    <col min="5" max="5" width="6.83203125" style="2" customWidth="1"/>
    <col min="6" max="6" width="5.5" style="1" customWidth="1"/>
    <col min="7" max="7" width="10.6640625" style="1" customWidth="1"/>
  </cols>
  <sheetData>
    <row r="1" spans="1:8" s="1" customFormat="1" ht="16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s="1" customFormat="1" ht="15" customHeight="1" x14ac:dyDescent="0.2">
      <c r="A2" s="1" t="s">
        <v>8</v>
      </c>
      <c r="B2" s="1">
        <v>140</v>
      </c>
      <c r="C2" s="1" t="s">
        <v>9</v>
      </c>
      <c r="D2" s="4">
        <f>1.99/0.5*B2/1000</f>
        <v>0.55720000000000003</v>
      </c>
      <c r="E2" s="2">
        <v>5</v>
      </c>
      <c r="F2" s="4">
        <f t="shared" ref="F2:F8" si="0">IF(D2&gt;0, E2/D2, 0)</f>
        <v>8.9734386216798274</v>
      </c>
      <c r="G2" s="1" t="s">
        <v>10</v>
      </c>
    </row>
    <row r="3" spans="1:8" s="1" customFormat="1" ht="15" customHeight="1" x14ac:dyDescent="0.2">
      <c r="A3" s="1" t="s">
        <v>22</v>
      </c>
      <c r="B3" s="1">
        <v>16</v>
      </c>
      <c r="C3" s="1" t="s">
        <v>9</v>
      </c>
      <c r="D3" s="4">
        <f>17.9*B3/1000</f>
        <v>0.28639999999999999</v>
      </c>
      <c r="E3" s="2">
        <v>2</v>
      </c>
      <c r="F3" s="4">
        <f t="shared" si="0"/>
        <v>6.983240223463687</v>
      </c>
      <c r="G3" s="1" t="s">
        <v>10</v>
      </c>
    </row>
    <row r="4" spans="1:8" s="1" customFormat="1" ht="15" customHeight="1" x14ac:dyDescent="0.2">
      <c r="A4" s="1" t="s">
        <v>13</v>
      </c>
      <c r="B4" s="1">
        <v>800</v>
      </c>
      <c r="C4" s="1" t="s">
        <v>9</v>
      </c>
      <c r="D4" s="4">
        <f>(4+0.5)/2.46*B4/1000</f>
        <v>1.4634146341463414</v>
      </c>
      <c r="E4" s="2">
        <v>10</v>
      </c>
      <c r="F4" s="4">
        <f t="shared" si="0"/>
        <v>6.8333333333333339</v>
      </c>
      <c r="G4" s="1" t="s">
        <v>14</v>
      </c>
    </row>
    <row r="5" spans="1:8" s="1" customFormat="1" ht="15" customHeight="1" x14ac:dyDescent="0.2">
      <c r="A5" s="1" t="s">
        <v>18</v>
      </c>
      <c r="B5" s="1">
        <v>500</v>
      </c>
      <c r="C5" s="1" t="s">
        <v>9</v>
      </c>
      <c r="D5" s="4">
        <f>2.19/0.5*B5/1000</f>
        <v>2.19</v>
      </c>
      <c r="E5" s="2">
        <v>9</v>
      </c>
      <c r="F5" s="4">
        <f t="shared" si="0"/>
        <v>4.1095890410958908</v>
      </c>
      <c r="G5" s="1" t="s">
        <v>14</v>
      </c>
    </row>
    <row r="6" spans="1:8" s="1" customFormat="1" ht="15" customHeight="1" x14ac:dyDescent="0.2">
      <c r="A6" s="1" t="s">
        <v>50</v>
      </c>
      <c r="B6" s="1">
        <v>1000</v>
      </c>
      <c r="C6" s="1" t="s">
        <v>9</v>
      </c>
      <c r="D6" s="4">
        <f>0.85/0.7*B6/1000</f>
        <v>1.2142857142857144</v>
      </c>
      <c r="E6" s="2">
        <v>5</v>
      </c>
      <c r="F6" s="4">
        <f t="shared" si="0"/>
        <v>4.117647058823529</v>
      </c>
      <c r="G6" s="1" t="s">
        <v>14</v>
      </c>
    </row>
    <row r="7" spans="1:8" s="1" customFormat="1" ht="15" customHeight="1" x14ac:dyDescent="0.2">
      <c r="A7" s="1" t="s">
        <v>23</v>
      </c>
      <c r="B7" s="1">
        <v>1</v>
      </c>
      <c r="C7" s="1" t="s">
        <v>20</v>
      </c>
      <c r="D7" s="4">
        <f>2/20*B7</f>
        <v>0.1</v>
      </c>
      <c r="E7" s="2">
        <v>0</v>
      </c>
      <c r="F7" s="4">
        <f t="shared" si="0"/>
        <v>0</v>
      </c>
      <c r="G7" s="1" t="s">
        <v>24</v>
      </c>
    </row>
    <row r="8" spans="1:8" s="1" customFormat="1" ht="15" customHeight="1" x14ac:dyDescent="0.2">
      <c r="B8" s="8"/>
      <c r="C8" s="8"/>
      <c r="D8" s="11">
        <f>SUM(D2:D7)</f>
        <v>5.8113003484320549</v>
      </c>
      <c r="E8" s="12">
        <f>SUM(E2:E7)</f>
        <v>31</v>
      </c>
      <c r="F8" s="11">
        <f>IF(D8&gt;0, E8/D8, 0)</f>
        <v>5.3344343161275596</v>
      </c>
    </row>
    <row r="9" spans="1:8" s="1" customFormat="1" ht="15" customHeight="1" x14ac:dyDescent="0.2">
      <c r="F9" s="13"/>
    </row>
    <row r="10" spans="1:8" ht="15" customHeight="1" x14ac:dyDescent="0.2">
      <c r="E10" s="1"/>
      <c r="F10" s="13"/>
      <c r="H10" s="1"/>
    </row>
    <row r="1048569" ht="12.75" customHeight="1" x14ac:dyDescent="0.2"/>
    <row r="1048570" ht="12.75" customHeight="1" x14ac:dyDescent="0.2"/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6" ht="12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zoomScale="150" zoomScaleNormal="150" workbookViewId="0">
      <selection activeCell="H10" sqref="H10"/>
    </sheetView>
  </sheetViews>
  <sheetFormatPr baseColWidth="10" defaultColWidth="11.5" defaultRowHeight="13.75" customHeight="1" x14ac:dyDescent="0.2"/>
  <cols>
    <col min="1" max="1" width="6.83203125" style="1" customWidth="1"/>
    <col min="2" max="2" width="12.5" style="1" customWidth="1"/>
    <col min="3" max="3" width="25.6640625" style="1" customWidth="1"/>
    <col min="4" max="4" width="5.5" style="1" customWidth="1"/>
    <col min="5" max="5" width="6.1640625" style="1" customWidth="1"/>
    <col min="6" max="6" width="19.33203125" style="14" customWidth="1"/>
    <col min="7" max="7" width="12.5" style="14" customWidth="1"/>
    <col min="8" max="8" width="7.33203125" style="15" customWidth="1"/>
    <col min="10" max="10" width="14.83203125" customWidth="1"/>
  </cols>
  <sheetData>
    <row r="1" spans="1:10" s="17" customFormat="1" ht="13.75" customHeight="1" x14ac:dyDescent="0.15">
      <c r="A1" s="16" t="s">
        <v>32</v>
      </c>
      <c r="B1" s="16" t="s">
        <v>33</v>
      </c>
      <c r="C1" s="16" t="s">
        <v>34</v>
      </c>
      <c r="D1" s="16" t="s">
        <v>1</v>
      </c>
      <c r="E1" s="16" t="s">
        <v>2</v>
      </c>
      <c r="F1" s="16" t="s">
        <v>35</v>
      </c>
      <c r="G1" s="16" t="s">
        <v>36</v>
      </c>
      <c r="H1" s="16" t="s">
        <v>37</v>
      </c>
      <c r="J1"/>
    </row>
    <row r="2" spans="1:10" s="1" customFormat="1" ht="13.75" customHeight="1" x14ac:dyDescent="0.2">
      <c r="A2" s="1" t="s">
        <v>38</v>
      </c>
      <c r="B2" s="18">
        <v>45989</v>
      </c>
      <c r="C2" s="1" t="s">
        <v>39</v>
      </c>
      <c r="D2" s="1">
        <f>1.15+0.275+0.025</f>
        <v>1.4499999999999997</v>
      </c>
      <c r="E2" s="1" t="s">
        <v>40</v>
      </c>
      <c r="F2" s="14">
        <v>45994</v>
      </c>
      <c r="G2" s="14">
        <f>F2+D2/(0.06+0.02)</f>
        <v>46012.125</v>
      </c>
      <c r="H2" s="15">
        <f>Fase1!D$15</f>
        <v>8.7261643902439037</v>
      </c>
      <c r="J2"/>
    </row>
    <row r="3" spans="1:10" s="1" customFormat="1" ht="13.75" customHeight="1" x14ac:dyDescent="0.2">
      <c r="A3" s="1" t="s">
        <v>41</v>
      </c>
      <c r="B3" s="18">
        <f>G2+1</f>
        <v>46013.125</v>
      </c>
      <c r="C3" s="1" t="s">
        <v>42</v>
      </c>
      <c r="D3" s="1">
        <f>29+11</f>
        <v>40</v>
      </c>
      <c r="E3" s="1" t="s">
        <v>20</v>
      </c>
      <c r="F3" s="14">
        <v>45994</v>
      </c>
      <c r="G3" s="14">
        <f>F3+D3/(13/7)</f>
        <v>46015.538461538461</v>
      </c>
      <c r="H3" s="15">
        <f>Fase2!D$13</f>
        <v>8.1069706620209061</v>
      </c>
      <c r="J3"/>
    </row>
    <row r="4" spans="1:10" s="1" customFormat="1" ht="13.75" customHeight="1" x14ac:dyDescent="0.2">
      <c r="A4" s="1" t="s">
        <v>43</v>
      </c>
      <c r="B4" s="18">
        <f>G3+1</f>
        <v>46016.538461538461</v>
      </c>
      <c r="C4" s="1" t="s">
        <v>44</v>
      </c>
      <c r="D4" s="1">
        <v>6.75</v>
      </c>
      <c r="E4" s="1" t="s">
        <v>45</v>
      </c>
      <c r="F4" s="14">
        <v>45995</v>
      </c>
      <c r="G4" s="14">
        <f>F4+D4/0.25</f>
        <v>46022</v>
      </c>
      <c r="H4" s="15">
        <f>Fase3!D12</f>
        <v>6.8226152613240414</v>
      </c>
      <c r="J4"/>
    </row>
    <row r="5" spans="1:10" s="1" customFormat="1" ht="13.75" customHeight="1" x14ac:dyDescent="0.2">
      <c r="A5" s="1" t="s">
        <v>46</v>
      </c>
      <c r="B5" s="18">
        <f>G4+1</f>
        <v>46023</v>
      </c>
      <c r="C5" s="1" t="s">
        <v>47</v>
      </c>
      <c r="D5" s="1">
        <v>0.6</v>
      </c>
      <c r="E5" s="1" t="s">
        <v>40</v>
      </c>
      <c r="F5" s="14">
        <v>45995</v>
      </c>
      <c r="G5" s="14">
        <f>F5+D5/0.016</f>
        <v>46032.5</v>
      </c>
      <c r="H5" s="15">
        <f>Fase4!D10</f>
        <v>6.0109403484320554</v>
      </c>
      <c r="J5"/>
    </row>
    <row r="6" spans="1:10" s="1" customFormat="1" ht="13.75" customHeight="1" x14ac:dyDescent="0.2">
      <c r="A6" s="1" t="s">
        <v>48</v>
      </c>
      <c r="B6" s="18">
        <f>G5+1</f>
        <v>46033.5</v>
      </c>
      <c r="C6" s="1" t="s">
        <v>49</v>
      </c>
      <c r="F6" s="14"/>
      <c r="G6" s="14">
        <v>47483</v>
      </c>
      <c r="H6" s="15">
        <f>Fase5!D8</f>
        <v>5.8113003484320549</v>
      </c>
      <c r="J6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Fase1</vt:lpstr>
      <vt:lpstr>Fase2</vt:lpstr>
      <vt:lpstr>Fase3</vt:lpstr>
      <vt:lpstr>Fase4</vt:lpstr>
      <vt:lpstr>Fase5</vt:lpstr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Adalberto Caccia</cp:lastModifiedBy>
  <cp:revision>7</cp:revision>
  <dcterms:modified xsi:type="dcterms:W3CDTF">2026-01-07T16:29:32Z</dcterms:modified>
  <dc:language>it-IT</dc:language>
</cp:coreProperties>
</file>